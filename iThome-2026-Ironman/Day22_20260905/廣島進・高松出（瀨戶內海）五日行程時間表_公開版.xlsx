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\ycy1997alex-oss-projects\iThome-2026-Ironman\Day22_20260905\"/>
    </mc:Choice>
  </mc:AlternateContent>
  <xr:revisionPtr revIDLastSave="0" documentId="13_ncr:1_{01F393D2-92D3-428C-AF97-FE134BDC831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行程總覽" sheetId="1" r:id="rId1"/>
    <sheet name="每日行程" sheetId="2" r:id="rId2"/>
    <sheet name="移動時間估算" sheetId="3" r:id="rId3"/>
    <sheet name="住宿與聯絡" sheetId="4" r:id="rId4"/>
    <sheet name="說明與假設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2" l="1"/>
  <c r="F25" i="3"/>
  <c r="G25" i="3" s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D73" i="2"/>
  <c r="E73" i="2" s="1"/>
  <c r="E72" i="2"/>
  <c r="E63" i="2"/>
  <c r="C64" i="2" s="1"/>
  <c r="E64" i="2" s="1"/>
  <c r="C65" i="2" s="1"/>
  <c r="E65" i="2" s="1"/>
  <c r="C66" i="2" s="1"/>
  <c r="E66" i="2" s="1"/>
  <c r="C67" i="2" s="1"/>
  <c r="E67" i="2" s="1"/>
  <c r="C68" i="2" s="1"/>
  <c r="E68" i="2" s="1"/>
  <c r="C69" i="2" s="1"/>
  <c r="E69" i="2" s="1"/>
  <c r="C70" i="2" s="1"/>
  <c r="E70" i="2" s="1"/>
  <c r="E62" i="2"/>
  <c r="D59" i="2"/>
  <c r="E59" i="2" s="1"/>
  <c r="E58" i="2"/>
  <c r="E50" i="2"/>
  <c r="C51" i="2" s="1"/>
  <c r="E51" i="2" s="1"/>
  <c r="C52" i="2" s="1"/>
  <c r="E52" i="2" s="1"/>
  <c r="C53" i="2" s="1"/>
  <c r="E53" i="2" s="1"/>
  <c r="C54" i="2" s="1"/>
  <c r="E54" i="2" s="1"/>
  <c r="C55" i="2" s="1"/>
  <c r="E55" i="2" s="1"/>
  <c r="C56" i="2" s="1"/>
  <c r="E56" i="2" s="1"/>
  <c r="C57" i="2" s="1"/>
  <c r="E57" i="2" s="1"/>
  <c r="E49" i="2"/>
  <c r="D46" i="2"/>
  <c r="E46" i="2" s="1"/>
  <c r="E39" i="2"/>
  <c r="C40" i="2" s="1"/>
  <c r="E40" i="2" s="1"/>
  <c r="C41" i="2" s="1"/>
  <c r="E41" i="2" s="1"/>
  <c r="C42" i="2" s="1"/>
  <c r="E42" i="2" s="1"/>
  <c r="C43" i="2" s="1"/>
  <c r="E43" i="2" s="1"/>
  <c r="C44" i="2" s="1"/>
  <c r="E44" i="2" s="1"/>
  <c r="C45" i="2" s="1"/>
  <c r="E45" i="2" s="1"/>
  <c r="E38" i="2"/>
  <c r="D35" i="2"/>
  <c r="E35" i="2" s="1"/>
  <c r="E23" i="2"/>
  <c r="C24" i="2" s="1"/>
  <c r="E24" i="2" s="1"/>
  <c r="C25" i="2" s="1"/>
  <c r="E25" i="2" s="1"/>
  <c r="C26" i="2" s="1"/>
  <c r="E26" i="2" s="1"/>
  <c r="C27" i="2" s="1"/>
  <c r="E27" i="2" s="1"/>
  <c r="C28" i="2" s="1"/>
  <c r="E28" i="2" s="1"/>
  <c r="C29" i="2" s="1"/>
  <c r="E29" i="2" s="1"/>
  <c r="C30" i="2" s="1"/>
  <c r="E30" i="2" s="1"/>
  <c r="C31" i="2" s="1"/>
  <c r="E31" i="2" s="1"/>
  <c r="C32" i="2" s="1"/>
  <c r="E32" i="2" s="1"/>
  <c r="C33" i="2" s="1"/>
  <c r="E33" i="2" s="1"/>
  <c r="C34" i="2" s="1"/>
  <c r="E34" i="2" s="1"/>
  <c r="E22" i="2"/>
  <c r="D19" i="2"/>
  <c r="E19" i="2" s="1"/>
  <c r="E8" i="2"/>
  <c r="C9" i="2" s="1"/>
  <c r="E9" i="2" s="1"/>
  <c r="C10" i="2" s="1"/>
  <c r="E10" i="2" s="1"/>
  <c r="C11" i="2" s="1"/>
  <c r="E11" i="2" s="1"/>
  <c r="C12" i="2" s="1"/>
  <c r="E12" i="2" s="1"/>
  <c r="C13" i="2" s="1"/>
  <c r="E13" i="2" s="1"/>
  <c r="C14" i="2" s="1"/>
  <c r="E14" i="2" s="1"/>
  <c r="C15" i="2" s="1"/>
  <c r="E15" i="2" s="1"/>
  <c r="C16" i="2" s="1"/>
  <c r="E16" i="2" s="1"/>
  <c r="C17" i="2" s="1"/>
  <c r="E17" i="2" s="1"/>
  <c r="C18" i="2" s="1"/>
  <c r="E18" i="2" s="1"/>
</calcChain>
</file>

<file path=xl/sharedStrings.xml><?xml version="1.0" encoding="utf-8"?>
<sst xmlns="http://schemas.openxmlformats.org/spreadsheetml/2006/main" count="617" uniqueCount="322">
  <si>
    <r>
      <rPr>
        <sz val="10"/>
        <color rgb="FF808080"/>
        <rFont val="Arial"/>
        <family val="2"/>
      </rPr>
      <t>2026.09.24（四）– 09.28（一）</t>
    </r>
  </si>
  <si>
    <t>航班資訊（中華航空）</t>
  </si>
  <si>
    <t>去程</t>
  </si>
  <si>
    <r>
      <rPr>
        <sz val="10"/>
        <rFont val="Arial"/>
        <family val="2"/>
      </rPr>
      <t>CI 112</t>
    </r>
    <r>
      <rPr>
        <sz val="10"/>
        <rFont val="Noto Sans CJK SC"/>
        <family val="2"/>
      </rPr>
      <t>　</t>
    </r>
    <r>
      <rPr>
        <sz val="10"/>
        <rFont val="Arial"/>
        <family val="2"/>
      </rPr>
      <t xml:space="preserve">07:10 </t>
    </r>
    <r>
      <rPr>
        <sz val="10"/>
        <rFont val="Noto Sans CJK SC"/>
        <family val="2"/>
      </rPr>
      <t xml:space="preserve">桃園 </t>
    </r>
    <r>
      <rPr>
        <sz val="10"/>
        <rFont val="Arial"/>
        <family val="2"/>
      </rPr>
      <t xml:space="preserve">TPE → 10:35 </t>
    </r>
    <r>
      <rPr>
        <sz val="10"/>
        <rFont val="Noto Sans CJK SC"/>
        <family val="2"/>
      </rPr>
      <t xml:space="preserve">廣島 </t>
    </r>
    <r>
      <rPr>
        <sz val="10"/>
        <rFont val="Arial"/>
        <family val="2"/>
      </rPr>
      <t>HIJ</t>
    </r>
    <r>
      <rPr>
        <sz val="10"/>
        <rFont val="Noto Sans CJK SC"/>
        <family val="2"/>
      </rPr>
      <t>　</t>
    </r>
    <r>
      <rPr>
        <sz val="10"/>
        <rFont val="Arial"/>
        <family val="2"/>
      </rPr>
      <t>09/24(</t>
    </r>
    <r>
      <rPr>
        <sz val="10"/>
        <rFont val="Noto Sans CJK SC"/>
        <family val="2"/>
      </rPr>
      <t>四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2h25m</t>
    </r>
  </si>
  <si>
    <t>回程</t>
  </si>
  <si>
    <r>
      <rPr>
        <sz val="10"/>
        <rFont val="Arial"/>
        <family val="2"/>
      </rPr>
      <t>CI 179</t>
    </r>
    <r>
      <rPr>
        <sz val="10"/>
        <rFont val="Noto Sans CJK SC"/>
        <family val="2"/>
      </rPr>
      <t>　</t>
    </r>
    <r>
      <rPr>
        <sz val="10"/>
        <rFont val="Arial"/>
        <family val="2"/>
      </rPr>
      <t xml:space="preserve">19:05 </t>
    </r>
    <r>
      <rPr>
        <sz val="10"/>
        <rFont val="Noto Sans CJK SC"/>
        <family val="2"/>
      </rPr>
      <t xml:space="preserve">高松 </t>
    </r>
    <r>
      <rPr>
        <sz val="10"/>
        <rFont val="Arial"/>
        <family val="2"/>
      </rPr>
      <t xml:space="preserve">TAK → 20:55 </t>
    </r>
    <r>
      <rPr>
        <sz val="10"/>
        <rFont val="Noto Sans CJK SC"/>
        <family val="2"/>
      </rPr>
      <t xml:space="preserve">桃園 </t>
    </r>
    <r>
      <rPr>
        <sz val="10"/>
        <rFont val="Arial"/>
        <family val="2"/>
      </rPr>
      <t>TPE</t>
    </r>
    <r>
      <rPr>
        <sz val="10"/>
        <rFont val="Noto Sans CJK SC"/>
        <family val="2"/>
      </rPr>
      <t>　</t>
    </r>
    <r>
      <rPr>
        <sz val="10"/>
        <rFont val="Arial"/>
        <family val="2"/>
      </rPr>
      <t>09/28(</t>
    </r>
    <r>
      <rPr>
        <sz val="10"/>
        <rFont val="Noto Sans CJK SC"/>
        <family val="2"/>
      </rPr>
      <t>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2h40m</t>
    </r>
  </si>
  <si>
    <t>集合資訊</t>
  </si>
  <si>
    <t>搭遊覽車者</t>
  </si>
  <si>
    <t>機場自行報到</t>
  </si>
  <si>
    <r>
      <rPr>
        <sz val="10"/>
        <rFont val="Arial"/>
        <family val="2"/>
      </rPr>
      <t>04:45</t>
    </r>
    <r>
      <rPr>
        <sz val="10"/>
        <rFont val="Noto Sans CJK SC"/>
        <family val="2"/>
      </rPr>
      <t xml:space="preserve">　桃園機場第二航廈・中華航空 </t>
    </r>
    <r>
      <rPr>
        <sz val="10"/>
        <rFont val="Arial"/>
        <family val="2"/>
      </rPr>
      <t xml:space="preserve">8 </t>
    </r>
    <r>
      <rPr>
        <sz val="10"/>
        <rFont val="Noto Sans CJK SC"/>
        <family val="2"/>
      </rPr>
      <t>號櫃檯</t>
    </r>
  </si>
  <si>
    <r>
      <rPr>
        <b/>
        <sz val="10"/>
        <rFont val="Noto Sans CJK SC"/>
        <family val="2"/>
      </rPr>
      <t xml:space="preserve">導遊 </t>
    </r>
    <r>
      <rPr>
        <b/>
        <sz val="10"/>
        <rFont val="Arial"/>
        <family val="2"/>
      </rPr>
      <t xml:space="preserve">1 </t>
    </r>
    <r>
      <rPr>
        <b/>
        <sz val="10"/>
        <rFont val="Noto Sans CJK SC"/>
        <family val="2"/>
      </rPr>
      <t>車</t>
    </r>
  </si>
  <si>
    <r>
      <rPr>
        <sz val="10"/>
        <rFont val="Noto Sans CJK SC"/>
        <family val="2"/>
      </rPr>
      <t>見紙本手冊</t>
    </r>
  </si>
  <si>
    <r>
      <rPr>
        <b/>
        <sz val="10"/>
        <rFont val="Noto Sans CJK SC"/>
        <family val="2"/>
      </rPr>
      <t xml:space="preserve">導遊 </t>
    </r>
    <r>
      <rPr>
        <b/>
        <sz val="10"/>
        <rFont val="Arial"/>
        <family val="2"/>
      </rPr>
      <t xml:space="preserve">2 </t>
    </r>
    <r>
      <rPr>
        <b/>
        <sz val="10"/>
        <rFont val="Noto Sans CJK SC"/>
        <family val="2"/>
      </rPr>
      <t>車</t>
    </r>
  </si>
  <si>
    <r>
      <rPr>
        <sz val="10"/>
        <rFont val="Noto Sans CJK SC"/>
        <family val="2"/>
      </rPr>
      <t>見紙本手冊</t>
    </r>
  </si>
  <si>
    <t>旅行社窗口</t>
  </si>
  <si>
    <r>
      <rPr>
        <sz val="10"/>
        <rFont val="Arial"/>
        <family val="2"/>
      </rPr>
      <t>見紙本手冊</t>
    </r>
  </si>
  <si>
    <t>每日重點</t>
  </si>
  <si>
    <t>Day</t>
  </si>
  <si>
    <t>日期</t>
  </si>
  <si>
    <t>路線</t>
  </si>
  <si>
    <t>主要景點</t>
  </si>
  <si>
    <t>住宿</t>
  </si>
  <si>
    <t>Day 1</t>
  </si>
  <si>
    <r>
      <rPr>
        <sz val="10"/>
        <rFont val="Arial"/>
        <family val="2"/>
      </rPr>
      <t>09/24 (</t>
    </r>
    <r>
      <rPr>
        <sz val="10"/>
        <rFont val="Noto Sans CJK SC"/>
        <family val="2"/>
      </rPr>
      <t>四</t>
    </r>
    <r>
      <rPr>
        <sz val="10"/>
        <rFont val="Arial"/>
        <family val="2"/>
      </rPr>
      <t>)</t>
    </r>
  </si>
  <si>
    <t>桃園 → 廣島 → 宮島 → 廣島市區</t>
  </si>
  <si>
    <t>嚴島神社・海上大鳥居・千疊閣・表參道商店街</t>
  </si>
  <si>
    <t>廣島麗嘉皇家酒店</t>
  </si>
  <si>
    <t>Day 2</t>
  </si>
  <si>
    <r>
      <rPr>
        <sz val="10"/>
        <rFont val="Arial"/>
        <family val="2"/>
      </rPr>
      <t>09/25 (</t>
    </r>
    <r>
      <rPr>
        <sz val="10"/>
        <rFont val="Noto Sans CJK SC"/>
        <family val="2"/>
      </rPr>
      <t>五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</si>
  <si>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廣島 →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瀨戶內海汽船</t>
    </r>
    <r>
      <rPr>
        <sz val="10"/>
        <rFont val="Arial"/>
        <family val="2"/>
      </rPr>
      <t xml:space="preserve">) → </t>
    </r>
    <r>
      <rPr>
        <sz val="10"/>
        <rFont val="Noto Sans CJK SC"/>
        <family val="2"/>
      </rPr>
      <t>松山 → 道後 → 今治</t>
    </r>
  </si>
  <si>
    <t>瀨戶內海汽船・松山城・道後溫泉本館</t>
  </si>
  <si>
    <t>今治國際飯店</t>
  </si>
  <si>
    <t>Day 3</t>
  </si>
  <si>
    <r>
      <rPr>
        <sz val="10"/>
        <rFont val="Arial"/>
        <family val="2"/>
      </rPr>
      <t>09/26 (</t>
    </r>
    <r>
      <rPr>
        <sz val="10"/>
        <rFont val="Noto Sans CJK SC"/>
        <family val="2"/>
      </rPr>
      <t>六</t>
    </r>
    <r>
      <rPr>
        <sz val="10"/>
        <rFont val="Arial"/>
        <family val="2"/>
      </rPr>
      <t>)</t>
    </r>
  </si>
  <si>
    <t>今治 → 高松</t>
  </si>
  <si>
    <t>今治毛巾美術館・高松中央（丸龜町）商店街</t>
  </si>
  <si>
    <r>
      <rPr>
        <sz val="10"/>
        <rFont val="Arial"/>
        <family val="2"/>
      </rPr>
      <t xml:space="preserve">JR Hotel Clement </t>
    </r>
    <r>
      <rPr>
        <sz val="10"/>
        <rFont val="Noto Sans CJK SC"/>
        <family val="2"/>
      </rPr>
      <t>高松</t>
    </r>
  </si>
  <si>
    <t>Day 4</t>
  </si>
  <si>
    <r>
      <rPr>
        <sz val="10"/>
        <rFont val="Arial"/>
        <family val="2"/>
      </rPr>
      <t>09/27 (</t>
    </r>
    <r>
      <rPr>
        <sz val="10"/>
        <rFont val="Noto Sans CJK SC"/>
        <family val="2"/>
      </rPr>
      <t>日</t>
    </r>
    <r>
      <rPr>
        <sz val="10"/>
        <rFont val="Arial"/>
        <family val="2"/>
      </rPr>
      <t>)</t>
    </r>
  </si>
  <si>
    <t>高松 → 坂出 → 琴平</t>
  </si>
  <si>
    <r>
      <rPr>
        <sz val="10"/>
        <rFont val="Noto Sans CJK SC"/>
        <family val="2"/>
      </rPr>
      <t xml:space="preserve">瀨戶大橋塔 </t>
    </r>
    <r>
      <rPr>
        <sz val="10"/>
        <rFont val="Arial"/>
        <family val="2"/>
      </rPr>
      <t>360°</t>
    </r>
    <r>
      <rPr>
        <sz val="10"/>
        <rFont val="Noto Sans CJK SC"/>
        <family val="2"/>
      </rPr>
      <t>・金刀比羅宮</t>
    </r>
  </si>
  <si>
    <t>琴平溫泉 琴參閣</t>
  </si>
  <si>
    <t>Day 5</t>
  </si>
  <si>
    <r>
      <rPr>
        <sz val="10"/>
        <rFont val="Arial"/>
        <family val="2"/>
      </rPr>
      <t>09/28 (</t>
    </r>
    <r>
      <rPr>
        <sz val="10"/>
        <rFont val="Noto Sans CJK SC"/>
        <family val="2"/>
      </rPr>
      <t>一</t>
    </r>
    <r>
      <rPr>
        <sz val="10"/>
        <rFont val="Arial"/>
        <family val="2"/>
      </rPr>
      <t>)</t>
    </r>
  </si>
  <si>
    <t>琴平 → 高松 → 高松機場 → 桃園</t>
  </si>
  <si>
    <t>善通寺・高松中央商店街・栗林公園（抹茶＋和菓子）</t>
  </si>
  <si>
    <t>溫暖的家</t>
  </si>
  <si>
    <t>※ 本表時間除航班、集合時間為手冊明載外，其餘皆為依路線距離之推估值，實際以隨團導遊公告為準。</t>
  </si>
  <si>
    <r>
      <rPr>
        <sz val="10"/>
        <color rgb="FF808080"/>
        <rFont val="Noto Sans CJK SC"/>
        <family val="2"/>
      </rPr>
      <t xml:space="preserve">※ 日本時間比台灣快 </t>
    </r>
    <r>
      <rPr>
        <sz val="10"/>
        <color rgb="FF808080"/>
        <rFont val="Arial"/>
        <family val="2"/>
      </rPr>
      <t xml:space="preserve">1 </t>
    </r>
    <r>
      <rPr>
        <sz val="10"/>
        <color rgb="FF808080"/>
        <rFont val="Noto Sans CJK SC"/>
        <family val="2"/>
      </rPr>
      <t xml:space="preserve">小時；「每日行程」分頁 </t>
    </r>
    <r>
      <rPr>
        <sz val="10"/>
        <color rgb="FF808080"/>
        <rFont val="Arial"/>
        <family val="2"/>
      </rPr>
      <t xml:space="preserve">Day2–Day5 </t>
    </r>
    <r>
      <rPr>
        <sz val="10"/>
        <color rgb="FF808080"/>
        <rFont val="Noto Sans CJK SC"/>
        <family val="2"/>
      </rPr>
      <t>全部使用日本時間。</t>
    </r>
  </si>
  <si>
    <t>每日行程時間軸（藍字＝手冊明載或可自行修改之輸入；黑字＝公式自動計算）</t>
  </si>
  <si>
    <r>
      <rPr>
        <sz val="10"/>
        <color rgb="FF808080"/>
        <rFont val="Noto Sans CJK SC"/>
        <family val="2"/>
      </rPr>
      <t>調整任一列的「時長</t>
    </r>
    <r>
      <rPr>
        <sz val="10"/>
        <color rgb="FF808080"/>
        <rFont val="Arial"/>
        <family val="2"/>
      </rPr>
      <t>(</t>
    </r>
    <r>
      <rPr>
        <sz val="10"/>
        <color rgb="FF808080"/>
        <rFont val="Noto Sans CJK SC"/>
        <family val="2"/>
      </rPr>
      <t>分</t>
    </r>
    <r>
      <rPr>
        <sz val="10"/>
        <color rgb="FF808080"/>
        <rFont val="Arial"/>
        <family val="2"/>
      </rPr>
      <t>)</t>
    </r>
    <r>
      <rPr>
        <sz val="10"/>
        <color rgb="FF808080"/>
        <rFont val="Noto Sans CJK SC"/>
        <family val="2"/>
      </rPr>
      <t>」或該日起始「開始」時間，其後所有時間會自動順延重算。</t>
    </r>
  </si>
  <si>
    <t>#</t>
  </si>
  <si>
    <t>開始</t>
  </si>
  <si>
    <r>
      <rPr>
        <b/>
        <sz val="11"/>
        <color rgb="FFFFFFFF"/>
        <rFont val="Noto Sans CJK SC"/>
        <family val="2"/>
      </rPr>
      <t>時長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分</t>
    </r>
    <r>
      <rPr>
        <b/>
        <sz val="11"/>
        <color rgb="FFFFFFFF"/>
        <rFont val="Arial"/>
        <family val="2"/>
      </rPr>
      <t>)</t>
    </r>
  </si>
  <si>
    <t>結束</t>
  </si>
  <si>
    <t>類別</t>
  </si>
  <si>
    <t>地點／活動</t>
  </si>
  <si>
    <t>交通方式</t>
  </si>
  <si>
    <t>說明／備註</t>
  </si>
  <si>
    <t>時間來源</t>
  </si>
  <si>
    <r>
      <rPr>
        <b/>
        <sz val="10"/>
        <color rgb="FF1F4E79"/>
        <rFont val="Arial"/>
        <family val="2"/>
      </rPr>
      <t>Day 1</t>
    </r>
    <r>
      <rPr>
        <b/>
        <sz val="10"/>
        <color rgb="FF1F4E79"/>
        <rFont val="Noto Sans CJK SC"/>
        <family val="2"/>
      </rPr>
      <t>｜</t>
    </r>
    <r>
      <rPr>
        <b/>
        <sz val="10"/>
        <color rgb="FF1F4E79"/>
        <rFont val="Arial"/>
        <family val="2"/>
      </rPr>
      <t>09/24 (</t>
    </r>
    <r>
      <rPr>
        <b/>
        <sz val="10"/>
        <color rgb="FF1F4E79"/>
        <rFont val="Noto Sans CJK SC"/>
        <family val="2"/>
      </rPr>
      <t>四</t>
    </r>
    <r>
      <rPr>
        <b/>
        <sz val="10"/>
        <color rgb="FF1F4E79"/>
        <rFont val="Arial"/>
        <family val="2"/>
      </rPr>
      <t>)</t>
    </r>
    <r>
      <rPr>
        <b/>
        <sz val="10"/>
        <color rgb="FF1F4E79"/>
        <rFont val="Noto Sans CJK SC"/>
        <family val="2"/>
      </rPr>
      <t>　桃園 → 廣島 → 宮島　※</t>
    </r>
    <r>
      <rPr>
        <b/>
        <sz val="10"/>
        <color rgb="FF1F4E79"/>
        <rFont val="Arial"/>
        <family val="2"/>
      </rPr>
      <t xml:space="preserve">03:30–10:35 </t>
    </r>
    <r>
      <rPr>
        <b/>
        <sz val="10"/>
        <color rgb="FF1F4E79"/>
        <rFont val="Noto Sans CJK SC"/>
        <family val="2"/>
      </rPr>
      <t>為台灣時間，其後為日本時間</t>
    </r>
  </si>
  <si>
    <t>集合</t>
  </si>
  <si>
    <t>—</t>
  </si>
  <si>
    <t>手冊</t>
  </si>
  <si>
    <t>移動</t>
  </si>
  <si>
    <t>遊覽車</t>
  </si>
  <si>
    <t>推估</t>
  </si>
  <si>
    <t>手續</t>
  </si>
  <si>
    <t>報到、託運行李、出境查驗</t>
  </si>
  <si>
    <r>
      <rPr>
        <sz val="10"/>
        <rFont val="Noto Sans CJK SC"/>
        <family val="2"/>
      </rPr>
      <t xml:space="preserve">手冊建議提早 </t>
    </r>
    <r>
      <rPr>
        <sz val="10"/>
        <rFont val="Arial"/>
        <family val="2"/>
      </rPr>
      <t xml:space="preserve">2.5 </t>
    </r>
    <r>
      <rPr>
        <sz val="10"/>
        <rFont val="Noto Sans CJK SC"/>
        <family val="2"/>
      </rPr>
      <t>小時抵達機場</t>
    </r>
  </si>
  <si>
    <t>航班</t>
  </si>
  <si>
    <r>
      <rPr>
        <sz val="10"/>
        <rFont val="Arial"/>
        <family val="2"/>
      </rPr>
      <t>CI 112</t>
    </r>
    <r>
      <rPr>
        <sz val="10"/>
        <rFont val="Noto Sans CJK SC"/>
        <family val="2"/>
      </rPr>
      <t xml:space="preserve">　桃園 </t>
    </r>
    <r>
      <rPr>
        <sz val="10"/>
        <rFont val="Arial"/>
        <family val="2"/>
      </rPr>
      <t xml:space="preserve">TPE → </t>
    </r>
    <r>
      <rPr>
        <sz val="10"/>
        <rFont val="Noto Sans CJK SC"/>
        <family val="2"/>
      </rPr>
      <t xml:space="preserve">廣島 </t>
    </r>
    <r>
      <rPr>
        <sz val="10"/>
        <rFont val="Arial"/>
        <family val="2"/>
      </rPr>
      <t>HIJ</t>
    </r>
  </si>
  <si>
    <t>飛機</t>
  </si>
  <si>
    <r>
      <rPr>
        <sz val="10"/>
        <rFont val="Noto Sans CJK SC"/>
        <family val="2"/>
      </rPr>
      <t xml:space="preserve">飛行 </t>
    </r>
    <r>
      <rPr>
        <sz val="10"/>
        <rFont val="Arial"/>
        <family val="2"/>
      </rPr>
      <t>2h25m</t>
    </r>
    <r>
      <rPr>
        <sz val="10"/>
        <rFont val="Noto Sans CJK SC"/>
        <family val="2"/>
      </rPr>
      <t xml:space="preserve">；起飛 </t>
    </r>
    <r>
      <rPr>
        <sz val="10"/>
        <rFont val="Arial"/>
        <family val="2"/>
      </rPr>
      <t xml:space="preserve">07:10 </t>
    </r>
    <r>
      <rPr>
        <sz val="10"/>
        <rFont val="Noto Sans CJK SC"/>
        <family val="2"/>
      </rPr>
      <t xml:space="preserve">為台灣時間，抵達 </t>
    </r>
    <r>
      <rPr>
        <sz val="10"/>
        <rFont val="Arial"/>
        <family val="2"/>
      </rPr>
      <t xml:space="preserve">10:35 </t>
    </r>
    <r>
      <rPr>
        <sz val="10"/>
        <rFont val="Noto Sans CJK SC"/>
        <family val="2"/>
      </rPr>
      <t>為日本時間（</t>
    </r>
    <r>
      <rPr>
        <sz val="10"/>
        <rFont val="Arial"/>
        <family val="2"/>
      </rPr>
      <t>+1h</t>
    </r>
    <r>
      <rPr>
        <sz val="10"/>
        <rFont val="Noto Sans CJK SC"/>
        <family val="2"/>
      </rPr>
      <t>）</t>
    </r>
  </si>
  <si>
    <t>廣島機場 入境審查、提領行李、上車</t>
  </si>
  <si>
    <r>
      <rPr>
        <sz val="10"/>
        <rFont val="Noto Sans CJK SC"/>
        <family val="2"/>
      </rPr>
      <t xml:space="preserve">指紋採集＋臉部拍照，團體通關約 </t>
    </r>
    <r>
      <rPr>
        <sz val="10"/>
        <rFont val="Arial"/>
        <family val="2"/>
      </rPr>
      <t xml:space="preserve">40–50 </t>
    </r>
    <r>
      <rPr>
        <sz val="10"/>
        <rFont val="Noto Sans CJK SC"/>
        <family val="2"/>
      </rPr>
      <t>分鐘</t>
    </r>
  </si>
  <si>
    <t>廣島機場 → 宮島口</t>
  </si>
  <si>
    <r>
      <rPr>
        <sz val="10"/>
        <rFont val="Noto Sans CJK SC"/>
        <family val="2"/>
      </rPr>
      <t>山陽道 → 廿日市</t>
    </r>
    <r>
      <rPr>
        <sz val="10"/>
        <rFont val="Arial"/>
        <family val="2"/>
      </rPr>
      <t>IC</t>
    </r>
    <r>
      <rPr>
        <sz val="10"/>
        <rFont val="Noto Sans CJK SC"/>
        <family val="2"/>
      </rPr>
      <t xml:space="preserve">，約 </t>
    </r>
    <r>
      <rPr>
        <sz val="10"/>
        <rFont val="Arial"/>
        <family val="2"/>
      </rPr>
      <t xml:space="preserve">75 </t>
    </r>
    <r>
      <rPr>
        <sz val="10"/>
        <rFont val="Noto Sans CJK SC"/>
        <family val="2"/>
      </rPr>
      <t>公里</t>
    </r>
  </si>
  <si>
    <t>宮島口 → 宮島棧橋</t>
  </si>
  <si>
    <t>渡輪</t>
  </si>
  <si>
    <r>
      <rPr>
        <sz val="10"/>
        <rFont val="Arial"/>
        <family val="2"/>
      </rPr>
      <t>JR</t>
    </r>
    <r>
      <rPr>
        <sz val="10"/>
        <rFont val="Noto Sans CJK SC"/>
        <family val="2"/>
      </rPr>
      <t xml:space="preserve">西日本宮島渡輪／宮島松大汽船，航程約 </t>
    </r>
    <r>
      <rPr>
        <sz val="10"/>
        <rFont val="Arial"/>
        <family val="2"/>
      </rPr>
      <t xml:space="preserve">10 </t>
    </r>
    <r>
      <rPr>
        <sz val="10"/>
        <rFont val="Noto Sans CJK SC"/>
        <family val="2"/>
      </rPr>
      <t xml:space="preserve">分鐘（含候船 </t>
    </r>
    <r>
      <rPr>
        <sz val="10"/>
        <rFont val="Arial"/>
        <family val="2"/>
      </rPr>
      <t xml:space="preserve">15 </t>
    </r>
    <r>
      <rPr>
        <sz val="10"/>
        <rFont val="Noto Sans CJK SC"/>
        <family val="2"/>
      </rPr>
      <t>分）</t>
    </r>
  </si>
  <si>
    <t>餐食</t>
  </si>
  <si>
    <r>
      <rPr>
        <sz val="10"/>
        <rFont val="Noto Sans CJK SC"/>
        <family val="2"/>
      </rPr>
      <t xml:space="preserve">午餐：宮島牡蠣釜飯定食 </t>
    </r>
    <r>
      <rPr>
        <sz val="10"/>
        <rFont val="Arial"/>
        <family val="2"/>
      </rPr>
      <t>¥2,780</t>
    </r>
  </si>
  <si>
    <t>手冊指定餐</t>
  </si>
  <si>
    <t>景點</t>
  </si>
  <si>
    <t>嚴島神社・海上大鳥居</t>
  </si>
  <si>
    <t>步行</t>
  </si>
  <si>
    <t>世界文化遺產；參拜＋大鳥居拍照</t>
  </si>
  <si>
    <t>千疊閣（豐國神社）</t>
  </si>
  <si>
    <t>豐臣秀吉所建大經堂，鄰接五重塔</t>
  </si>
  <si>
    <t>自由</t>
  </si>
  <si>
    <t>宮島表參道商店街 自由活動</t>
  </si>
  <si>
    <t>現烤牡蠣、紅葉饅頭、伴手禮採買</t>
  </si>
  <si>
    <t>宮島棧橋 → 宮島口</t>
  </si>
  <si>
    <t>回程渡輪含候船</t>
  </si>
  <si>
    <t>宮島口 → 廣島市區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</si>
  <si>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25 </t>
    </r>
    <r>
      <rPr>
        <sz val="10"/>
        <rFont val="Noto Sans CJK SC"/>
        <family val="2"/>
      </rPr>
      <t>公里，經廣島岩國道路／國道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號</t>
    </r>
  </si>
  <si>
    <r>
      <rPr>
        <sz val="10"/>
        <rFont val="Noto Sans CJK SC"/>
        <family val="2"/>
      </rPr>
      <t xml:space="preserve">晚餐：廣島風味餐 </t>
    </r>
    <r>
      <rPr>
        <sz val="10"/>
        <rFont val="Arial"/>
        <family val="2"/>
      </rPr>
      <t>¥4,500</t>
    </r>
  </si>
  <si>
    <t>廣島麗嘉皇家酒店（リーガロイヤルホテル広島）</t>
  </si>
  <si>
    <r>
      <rPr>
        <sz val="10"/>
        <rFont val="Noto Sans CJK SC"/>
        <family val="2"/>
      </rPr>
      <t xml:space="preserve">広島県広島市中区基町 </t>
    </r>
    <r>
      <rPr>
        <sz val="10"/>
        <rFont val="Arial"/>
        <family val="2"/>
      </rPr>
      <t>6-78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TEL +81 82-502-1121</t>
    </r>
  </si>
  <si>
    <t>當日合計</t>
  </si>
  <si>
    <t>小時</t>
  </si>
  <si>
    <r>
      <rPr>
        <b/>
        <sz val="10"/>
        <color rgb="FF1F4E79"/>
        <rFont val="Arial"/>
        <family val="2"/>
      </rPr>
      <t>Day 2</t>
    </r>
    <r>
      <rPr>
        <b/>
        <sz val="10"/>
        <color rgb="FF1F4E79"/>
        <rFont val="Noto Sans CJK SC"/>
        <family val="2"/>
      </rPr>
      <t>｜</t>
    </r>
    <r>
      <rPr>
        <b/>
        <sz val="10"/>
        <color rgb="FF1F4E79"/>
        <rFont val="Arial"/>
        <family val="2"/>
      </rPr>
      <t>09/25 (</t>
    </r>
    <r>
      <rPr>
        <b/>
        <sz val="10"/>
        <color rgb="FF1F4E79"/>
        <rFont val="Noto Sans CJK SC"/>
        <family val="2"/>
      </rPr>
      <t>五</t>
    </r>
    <r>
      <rPr>
        <b/>
        <sz val="10"/>
        <color rgb="FF1F4E79"/>
        <rFont val="Arial"/>
        <family val="2"/>
      </rPr>
      <t>)</t>
    </r>
    <r>
      <rPr>
        <b/>
        <sz val="10"/>
        <color rgb="FF1F4E79"/>
        <rFont val="Noto Sans CJK SC"/>
        <family val="2"/>
      </rPr>
      <t>　廣島 → 松山 → 道後 → 今治（日本時間）</t>
    </r>
  </si>
  <si>
    <t>飯店內早餐</t>
  </si>
  <si>
    <r>
      <rPr>
        <sz val="10"/>
        <rFont val="Noto Sans CJK SC"/>
        <family val="2"/>
      </rPr>
      <t xml:space="preserve">早餐與出發時間依當日導遊公告；此處以 </t>
    </r>
    <r>
      <rPr>
        <sz val="10"/>
        <rFont val="Arial"/>
        <family val="2"/>
      </rPr>
      <t xml:space="preserve">07:00 </t>
    </r>
    <r>
      <rPr>
        <sz val="10"/>
        <rFont val="Noto Sans CJK SC"/>
        <family val="2"/>
      </rPr>
      <t>早餐、</t>
    </r>
    <r>
      <rPr>
        <sz val="10"/>
        <rFont val="Arial"/>
        <family val="2"/>
      </rPr>
      <t xml:space="preserve">08:00 </t>
    </r>
    <r>
      <rPr>
        <sz val="10"/>
        <rFont val="Noto Sans CJK SC"/>
        <family val="2"/>
      </rPr>
      <t>出發推估</t>
    </r>
  </si>
  <si>
    <t>飯店 → 廣島港（宇品）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</si>
  <si>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6 </t>
    </r>
    <r>
      <rPr>
        <sz val="10"/>
        <rFont val="Noto Sans CJK SC"/>
        <family val="2"/>
      </rPr>
      <t>公里，市區道路</t>
    </r>
  </si>
  <si>
    <t>廣島港 候船、上船</t>
  </si>
  <si>
    <t>團體提前登船</t>
  </si>
  <si>
    <t>廣島港 → 吳中央碼頭</t>
  </si>
  <si>
    <t>瀨戶內海汽船</t>
  </si>
  <si>
    <r>
      <rPr>
        <sz val="10"/>
        <rFont val="Noto Sans CJK SC"/>
        <family val="2"/>
      </rPr>
      <t xml:space="preserve">手冊載約 </t>
    </r>
    <r>
      <rPr>
        <sz val="10"/>
        <rFont val="Arial"/>
        <family val="2"/>
      </rPr>
      <t xml:space="preserve">45 </t>
    </r>
    <r>
      <rPr>
        <sz val="10"/>
        <rFont val="Noto Sans CJK SC"/>
        <family val="2"/>
      </rPr>
      <t>分鐘</t>
    </r>
  </si>
  <si>
    <t>吳中央碼頭 → 松山觀光港</t>
  </si>
  <si>
    <r>
      <rPr>
        <sz val="10"/>
        <rFont val="Noto Sans CJK SC"/>
        <family val="2"/>
      </rPr>
      <t xml:space="preserve">手冊載約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小時 </t>
    </r>
    <r>
      <rPr>
        <sz val="10"/>
        <rFont val="Arial"/>
        <family val="2"/>
      </rPr>
      <t xml:space="preserve">55 </t>
    </r>
    <r>
      <rPr>
        <sz val="10"/>
        <rFont val="Noto Sans CJK SC"/>
        <family val="2"/>
      </rPr>
      <t>分鐘（含吳港停靠作業）</t>
    </r>
  </si>
  <si>
    <t>松山觀光港 → 松山城纜車東雲口站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</si>
  <si>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10 </t>
    </r>
    <r>
      <rPr>
        <sz val="10"/>
        <rFont val="Noto Sans CJK SC"/>
        <family val="2"/>
      </rPr>
      <t>公里，市區道路</t>
    </r>
  </si>
  <si>
    <r>
      <rPr>
        <sz val="10"/>
        <rFont val="Noto Sans CJK SC"/>
        <family val="2"/>
      </rPr>
      <t xml:space="preserve">午餐：鯛魚飯定食套餐 </t>
    </r>
    <r>
      <rPr>
        <sz val="10"/>
        <rFont val="Arial"/>
        <family val="2"/>
      </rPr>
      <t>¥3,000</t>
    </r>
  </si>
  <si>
    <t>松山城（搭廂型纜車登城）</t>
  </si>
  <si>
    <t>纜車＋步行</t>
  </si>
  <si>
    <r>
      <rPr>
        <sz val="10"/>
        <rFont val="Noto Sans CJK SC"/>
        <family val="2"/>
      </rPr>
      <t xml:space="preserve">日本 </t>
    </r>
    <r>
      <rPr>
        <sz val="10"/>
        <rFont val="Arial"/>
        <family val="2"/>
      </rPr>
      <t xml:space="preserve">100 </t>
    </r>
    <r>
      <rPr>
        <sz val="10"/>
        <rFont val="Noto Sans CJK SC"/>
        <family val="2"/>
      </rPr>
      <t xml:space="preserve">名城；纜車單程約 </t>
    </r>
    <r>
      <rPr>
        <sz val="10"/>
        <rFont val="Arial"/>
        <family val="2"/>
      </rPr>
      <t xml:space="preserve">3 </t>
    </r>
    <r>
      <rPr>
        <sz val="10"/>
        <rFont val="Noto Sans CJK SC"/>
        <family val="2"/>
      </rPr>
      <t xml:space="preserve">分鐘，天守閣參觀約 </t>
    </r>
    <r>
      <rPr>
        <sz val="10"/>
        <rFont val="Arial"/>
        <family val="2"/>
      </rPr>
      <t xml:space="preserve">60 </t>
    </r>
    <r>
      <rPr>
        <sz val="10"/>
        <rFont val="Noto Sans CJK SC"/>
        <family val="2"/>
      </rPr>
      <t>分鐘</t>
    </r>
  </si>
  <si>
    <t>松山城 → 道後溫泉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</si>
  <si>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公里</t>
    </r>
  </si>
  <si>
    <t>道後溫泉本館・溫泉街散策</t>
  </si>
  <si>
    <t>日本三大古湯；本館外觀、放生園足湯、商店街</t>
  </si>
  <si>
    <t>道後溫泉 → 今治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</si>
  <si>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45 </t>
    </r>
    <r>
      <rPr>
        <sz val="10"/>
        <rFont val="Noto Sans CJK SC"/>
        <family val="2"/>
      </rPr>
      <t>公里，松山自動車道／今治小松道</t>
    </r>
  </si>
  <si>
    <t>今治國際飯店 入住</t>
  </si>
  <si>
    <r>
      <rPr>
        <sz val="10"/>
        <rFont val="Noto Sans CJK SC"/>
        <family val="2"/>
      </rPr>
      <t xml:space="preserve">愛媛県今治市旭町 </t>
    </r>
    <r>
      <rPr>
        <sz val="10"/>
        <rFont val="Arial"/>
        <family val="2"/>
      </rPr>
      <t>2-3-4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TEL +81 898-36-1111</t>
    </r>
  </si>
  <si>
    <t>晚餐：飯店內用套餐</t>
  </si>
  <si>
    <r>
      <rPr>
        <b/>
        <sz val="10"/>
        <color rgb="FF1F4E79"/>
        <rFont val="Arial"/>
        <family val="2"/>
      </rPr>
      <t>Day 3</t>
    </r>
    <r>
      <rPr>
        <b/>
        <sz val="10"/>
        <color rgb="FF1F4E79"/>
        <rFont val="Noto Sans CJK SC"/>
        <family val="2"/>
      </rPr>
      <t>｜</t>
    </r>
    <r>
      <rPr>
        <b/>
        <sz val="10"/>
        <color rgb="FF1F4E79"/>
        <rFont val="Arial"/>
        <family val="2"/>
      </rPr>
      <t>09/26 (</t>
    </r>
    <r>
      <rPr>
        <b/>
        <sz val="10"/>
        <color rgb="FF1F4E79"/>
        <rFont val="Noto Sans CJK SC"/>
        <family val="2"/>
      </rPr>
      <t>六</t>
    </r>
    <r>
      <rPr>
        <b/>
        <sz val="10"/>
        <color rgb="FF1F4E79"/>
        <rFont val="Arial"/>
        <family val="2"/>
      </rPr>
      <t>)</t>
    </r>
    <r>
      <rPr>
        <b/>
        <sz val="10"/>
        <color rgb="FF1F4E79"/>
        <rFont val="Noto Sans CJK SC"/>
        <family val="2"/>
      </rPr>
      <t>　今治 → 高松（日本時間）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</si>
  <si>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2"/>
      </rPr>
      <t xml:space="preserve">07:00 </t>
    </r>
    <r>
      <rPr>
        <sz val="10"/>
        <rFont val="Noto Sans CJK SC"/>
        <family val="2"/>
      </rPr>
      <t>早餐、</t>
    </r>
    <r>
      <rPr>
        <sz val="10"/>
        <rFont val="Arial"/>
        <family val="2"/>
      </rPr>
      <t xml:space="preserve">08:45 </t>
    </r>
    <r>
      <rPr>
        <sz val="10"/>
        <rFont val="Noto Sans CJK SC"/>
        <family val="2"/>
      </rPr>
      <t>出發推估</t>
    </r>
  </si>
  <si>
    <t>今治國際飯店 → 今治毛巾美術館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</si>
  <si>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15 </t>
    </r>
    <r>
      <rPr>
        <sz val="10"/>
        <rFont val="Noto Sans CJK SC"/>
        <family val="2"/>
      </rPr>
      <t>公里，國道</t>
    </r>
    <r>
      <rPr>
        <sz val="10"/>
        <rFont val="Arial"/>
        <family val="2"/>
      </rPr>
      <t>196</t>
    </r>
    <r>
      <rPr>
        <sz val="10"/>
        <rFont val="Noto Sans CJK SC"/>
        <family val="2"/>
      </rPr>
      <t>號</t>
    </r>
  </si>
  <si>
    <t>今治毛巾美術館</t>
  </si>
  <si>
    <t>全球首座毛巾主題美術館；展示、製程參觀、歐式庭園、賣店</t>
  </si>
  <si>
    <r>
      <rPr>
        <sz val="10"/>
        <rFont val="Noto Sans CJK SC"/>
        <family val="2"/>
      </rPr>
      <t xml:space="preserve">午餐：在地風味餐 </t>
    </r>
    <r>
      <rPr>
        <sz val="10"/>
        <rFont val="Arial"/>
        <family val="2"/>
      </rPr>
      <t>¥3,000</t>
    </r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</si>
  <si>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140 </t>
    </r>
    <r>
      <rPr>
        <sz val="10"/>
        <rFont val="Noto Sans CJK SC"/>
        <family val="2"/>
      </rPr>
      <t xml:space="preserve">公里，今治小松道→松山道→高松道，含休息站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>次</t>
    </r>
  </si>
  <si>
    <r>
      <rPr>
        <sz val="10"/>
        <rFont val="Arial"/>
        <family val="2"/>
      </rPr>
      <t xml:space="preserve">JR Hotel Clement </t>
    </r>
    <r>
      <rPr>
        <sz val="10"/>
        <rFont val="Noto Sans CJK SC"/>
        <family val="2"/>
      </rPr>
      <t>高松 入住、放行李</t>
    </r>
  </si>
  <si>
    <r>
      <rPr>
        <sz val="10"/>
        <rFont val="Noto Sans CJK SC"/>
        <family val="2"/>
      </rPr>
      <t xml:space="preserve">香川県高松市浜ノ町 </t>
    </r>
    <r>
      <rPr>
        <sz val="10"/>
        <rFont val="Arial"/>
        <family val="2"/>
      </rPr>
      <t>1-1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 xml:space="preserve">JR </t>
    </r>
    <r>
      <rPr>
        <sz val="10"/>
        <rFont val="Noto Sans CJK SC"/>
        <family val="2"/>
      </rPr>
      <t>高松站旁）／</t>
    </r>
    <r>
      <rPr>
        <sz val="10"/>
        <rFont val="Arial"/>
        <family val="2"/>
      </rPr>
      <t>TEL +81 87-811-1111</t>
    </r>
  </si>
  <si>
    <t>高松中央（丸龜町）商店街 自由活動</t>
  </si>
  <si>
    <r>
      <rPr>
        <sz val="10"/>
        <rFont val="Noto Sans CJK SC"/>
        <family val="2"/>
      </rPr>
      <t>日本最長拱廊商店街，</t>
    </r>
    <r>
      <rPr>
        <sz val="10"/>
        <rFont val="Arial"/>
        <family val="2"/>
      </rPr>
      <t xml:space="preserve">8 </t>
    </r>
    <r>
      <rPr>
        <sz val="10"/>
        <rFont val="Noto Sans CJK SC"/>
        <family val="2"/>
      </rPr>
      <t xml:space="preserve">條街：兵庫町・片原町・丸龜町・御坊町・獅子通・南新町・常盤町・田町；由飯店步行約 </t>
    </r>
    <r>
      <rPr>
        <sz val="10"/>
        <rFont val="Arial"/>
        <family val="2"/>
      </rPr>
      <t xml:space="preserve">10 </t>
    </r>
    <r>
      <rPr>
        <sz val="10"/>
        <rFont val="Noto Sans CJK SC"/>
        <family val="2"/>
      </rPr>
      <t>分鐘</t>
    </r>
  </si>
  <si>
    <r>
      <rPr>
        <sz val="10"/>
        <rFont val="Noto Sans CJK SC"/>
        <family val="2"/>
      </rPr>
      <t xml:space="preserve">晚餐：發放代金 </t>
    </r>
    <r>
      <rPr>
        <sz val="10"/>
        <rFont val="Arial"/>
        <family val="2"/>
      </rPr>
      <t xml:space="preserve">¥5,000 </t>
    </r>
    <r>
      <rPr>
        <sz val="10"/>
        <rFont val="Noto Sans CJK SC"/>
        <family val="2"/>
      </rPr>
      <t>自理</t>
    </r>
  </si>
  <si>
    <t>手冊註明為方便遊玩發放代金；獅子通居酒屋、拉麵店集中</t>
  </si>
  <si>
    <r>
      <rPr>
        <b/>
        <sz val="10"/>
        <color rgb="FF1F4E79"/>
        <rFont val="Arial"/>
        <family val="2"/>
      </rPr>
      <t>Day 4</t>
    </r>
    <r>
      <rPr>
        <b/>
        <sz val="10"/>
        <color rgb="FF1F4E79"/>
        <rFont val="Noto Sans CJK SC"/>
        <family val="2"/>
      </rPr>
      <t>｜</t>
    </r>
    <r>
      <rPr>
        <b/>
        <sz val="10"/>
        <color rgb="FF1F4E79"/>
        <rFont val="Arial"/>
        <family val="2"/>
      </rPr>
      <t>09/27 (</t>
    </r>
    <r>
      <rPr>
        <b/>
        <sz val="10"/>
        <color rgb="FF1F4E79"/>
        <rFont val="Noto Sans CJK SC"/>
        <family val="2"/>
      </rPr>
      <t>日</t>
    </r>
    <r>
      <rPr>
        <b/>
        <sz val="10"/>
        <color rgb="FF1F4E79"/>
        <rFont val="Arial"/>
        <family val="2"/>
      </rPr>
      <t>)</t>
    </r>
    <r>
      <rPr>
        <b/>
        <sz val="10"/>
        <color rgb="FF1F4E79"/>
        <rFont val="Noto Sans CJK SC"/>
        <family val="2"/>
      </rPr>
      <t>　高松 → 坂出 → 琴平（日本時間）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</si>
  <si>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2"/>
      </rPr>
      <t xml:space="preserve">07:00 </t>
    </r>
    <r>
      <rPr>
        <sz val="10"/>
        <rFont val="Noto Sans CJK SC"/>
        <family val="2"/>
      </rPr>
      <t>早餐、</t>
    </r>
    <r>
      <rPr>
        <sz val="10"/>
        <rFont val="Arial"/>
        <family val="2"/>
      </rPr>
      <t xml:space="preserve">08:30 </t>
    </r>
    <r>
      <rPr>
        <sz val="10"/>
        <rFont val="Noto Sans CJK SC"/>
        <family val="2"/>
      </rPr>
      <t>出發推估</t>
    </r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</si>
  <si>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30 </t>
    </r>
    <r>
      <rPr>
        <sz val="10"/>
        <rFont val="Noto Sans CJK SC"/>
        <family val="2"/>
      </rPr>
      <t>公里，高松自動車道→坂出北</t>
    </r>
    <r>
      <rPr>
        <sz val="10"/>
        <rFont val="Arial"/>
        <family val="2"/>
      </rPr>
      <t>IC</t>
    </r>
  </si>
  <si>
    <t>瀨戶內海大橋紀念館・瀨戶大橋塔</t>
  </si>
  <si>
    <t>步行＋展望塔</t>
  </si>
  <si>
    <r>
      <rPr>
        <sz val="10"/>
        <rFont val="Arial"/>
        <family val="2"/>
      </rPr>
      <t xml:space="preserve">360 </t>
    </r>
    <r>
      <rPr>
        <sz val="10"/>
        <rFont val="Noto Sans CJK SC"/>
        <family val="2"/>
      </rPr>
      <t xml:space="preserve">度旋轉展望台，一輪約 </t>
    </r>
    <r>
      <rPr>
        <sz val="10"/>
        <rFont val="Arial"/>
        <family val="2"/>
      </rPr>
      <t xml:space="preserve">10 </t>
    </r>
    <r>
      <rPr>
        <sz val="10"/>
        <rFont val="Noto Sans CJK SC"/>
        <family val="2"/>
      </rPr>
      <t>分鐘；含紀念館參觀</t>
    </r>
  </si>
  <si>
    <t>坂出 → 琴平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</si>
  <si>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25 </t>
    </r>
    <r>
      <rPr>
        <sz val="10"/>
        <rFont val="Noto Sans CJK SC"/>
        <family val="2"/>
      </rPr>
      <t>公里，國道</t>
    </r>
    <r>
      <rPr>
        <sz val="10"/>
        <rFont val="Arial"/>
        <family val="2"/>
      </rPr>
      <t>32</t>
    </r>
    <r>
      <rPr>
        <sz val="10"/>
        <rFont val="Noto Sans CJK SC"/>
        <family val="2"/>
      </rPr>
      <t>號</t>
    </r>
  </si>
  <si>
    <r>
      <rPr>
        <sz val="10"/>
        <rFont val="Noto Sans CJK SC"/>
        <family val="2"/>
      </rPr>
      <t xml:space="preserve">午餐：烏龍麵套餐 </t>
    </r>
    <r>
      <rPr>
        <sz val="10"/>
        <rFont val="Arial"/>
        <family val="2"/>
      </rPr>
      <t>¥2,200</t>
    </r>
  </si>
  <si>
    <t>手冊指定餐；讚岐烏龍麵</t>
  </si>
  <si>
    <r>
      <rPr>
        <sz val="10"/>
        <rFont val="Noto Sans CJK SC"/>
        <family val="2"/>
      </rPr>
      <t xml:space="preserve">表參道至御本宮 </t>
    </r>
    <r>
      <rPr>
        <sz val="10"/>
        <rFont val="Arial"/>
        <family val="2"/>
      </rPr>
      <t xml:space="preserve">785 </t>
    </r>
    <r>
      <rPr>
        <sz val="10"/>
        <rFont val="Noto Sans CJK SC"/>
        <family val="2"/>
      </rPr>
      <t xml:space="preserve">階，來回約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>小時（步調較慢者可於中段咖啡廳／商店休息）</t>
    </r>
  </si>
  <si>
    <t>金刀比羅宮 → 琴平溫泉 琴參閣</t>
  </si>
  <si>
    <t>遊覽車／步行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</si>
  <si>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>公里</t>
    </r>
  </si>
  <si>
    <t>琴平溫泉 琴參閣 入住</t>
  </si>
  <si>
    <r>
      <rPr>
        <sz val="10"/>
        <rFont val="Noto Sans CJK SC"/>
        <family val="2"/>
      </rPr>
      <t xml:space="preserve">香川県仲多度郡琴平町 </t>
    </r>
    <r>
      <rPr>
        <sz val="10"/>
        <rFont val="Arial"/>
        <family val="2"/>
      </rPr>
      <t>685-11</t>
    </r>
    <r>
      <rPr>
        <sz val="10"/>
        <rFont val="Noto Sans CJK SC"/>
        <family val="2"/>
      </rPr>
      <t>／</t>
    </r>
    <r>
      <rPr>
        <sz val="10"/>
        <rFont val="Arial"/>
        <family val="2"/>
      </rPr>
      <t>TEL +81 877-75-1000</t>
    </r>
  </si>
  <si>
    <t>溫泉入浴（大浴場）</t>
  </si>
  <si>
    <r>
      <rPr>
        <sz val="10"/>
        <rFont val="Noto Sans CJK SC"/>
        <family val="2"/>
      </rPr>
      <t xml:space="preserve">入浴前先淋浴洗淨；建議單次不超過 </t>
    </r>
    <r>
      <rPr>
        <sz val="10"/>
        <rFont val="Arial"/>
        <family val="2"/>
      </rPr>
      <t xml:space="preserve">15 </t>
    </r>
    <r>
      <rPr>
        <sz val="10"/>
        <rFont val="Noto Sans CJK SC"/>
        <family val="2"/>
      </rPr>
      <t>分鐘</t>
    </r>
  </si>
  <si>
    <t>晚餐：溫泉會席餐（晚宴）</t>
  </si>
  <si>
    <r>
      <rPr>
        <b/>
        <sz val="10"/>
        <color rgb="FF1F4E79"/>
        <rFont val="Arial"/>
        <family val="2"/>
      </rPr>
      <t>Day 5</t>
    </r>
    <r>
      <rPr>
        <b/>
        <sz val="10"/>
        <color rgb="FF1F4E79"/>
        <rFont val="Noto Sans CJK SC"/>
        <family val="2"/>
      </rPr>
      <t>｜</t>
    </r>
    <r>
      <rPr>
        <b/>
        <sz val="10"/>
        <color rgb="FF1F4E79"/>
        <rFont val="Arial"/>
        <family val="2"/>
      </rPr>
      <t>09/28 (</t>
    </r>
    <r>
      <rPr>
        <b/>
        <sz val="10"/>
        <color rgb="FF1F4E79"/>
        <rFont val="Noto Sans CJK SC"/>
        <family val="2"/>
      </rPr>
      <t>一</t>
    </r>
    <r>
      <rPr>
        <b/>
        <sz val="10"/>
        <color rgb="FF1F4E79"/>
        <rFont val="Arial"/>
        <family val="2"/>
      </rPr>
      <t>)</t>
    </r>
    <r>
      <rPr>
        <b/>
        <sz val="10"/>
        <color rgb="FF1F4E79"/>
        <rFont val="Noto Sans CJK SC"/>
        <family val="2"/>
      </rPr>
      <t>　琴平 → 高松 → 桃園　※</t>
    </r>
    <r>
      <rPr>
        <b/>
        <sz val="10"/>
        <color rgb="FF1F4E79"/>
        <rFont val="Arial"/>
        <family val="2"/>
      </rPr>
      <t xml:space="preserve">19:05 </t>
    </r>
    <r>
      <rPr>
        <b/>
        <sz val="10"/>
        <color rgb="FF1F4E79"/>
        <rFont val="Noto Sans CJK SC"/>
        <family val="2"/>
      </rPr>
      <t>起飛為日本時間，</t>
    </r>
    <r>
      <rPr>
        <b/>
        <sz val="10"/>
        <color rgb="FF1F4E79"/>
        <rFont val="Arial"/>
        <family val="2"/>
      </rPr>
      <t xml:space="preserve">20:55 </t>
    </r>
    <r>
      <rPr>
        <b/>
        <sz val="10"/>
        <color rgb="FF1F4E79"/>
        <rFont val="Noto Sans CJK SC"/>
        <family val="2"/>
      </rPr>
      <t>抵達為台灣時間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</si>
  <si>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2"/>
      </rPr>
      <t xml:space="preserve">07:00 </t>
    </r>
    <r>
      <rPr>
        <sz val="10"/>
        <rFont val="Noto Sans CJK SC"/>
        <family val="2"/>
      </rPr>
      <t>早餐、</t>
    </r>
    <r>
      <rPr>
        <sz val="10"/>
        <rFont val="Arial"/>
        <family val="2"/>
      </rPr>
      <t xml:space="preserve">08:30 </t>
    </r>
    <r>
      <rPr>
        <sz val="10"/>
        <rFont val="Noto Sans CJK SC"/>
        <family val="2"/>
      </rPr>
      <t>出發推估；當日退房</t>
    </r>
  </si>
  <si>
    <t>琴平溫泉 → 善通寺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</si>
  <si>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6 </t>
    </r>
    <r>
      <rPr>
        <sz val="10"/>
        <rFont val="Noto Sans CJK SC"/>
        <family val="2"/>
      </rPr>
      <t>公里，國道</t>
    </r>
    <r>
      <rPr>
        <sz val="10"/>
        <rFont val="Arial"/>
        <family val="2"/>
      </rPr>
      <t>319</t>
    </r>
    <r>
      <rPr>
        <sz val="10"/>
        <rFont val="Noto Sans CJK SC"/>
        <family val="2"/>
      </rPr>
      <t>號</t>
    </r>
  </si>
  <si>
    <t>善通寺</t>
  </si>
  <si>
    <t>四國八十八所第七十五番札所，弘法大師（空海）誕生地；金堂、五重塔</t>
  </si>
  <si>
    <t>善通寺 → 高松市區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</si>
  <si>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40 </t>
    </r>
    <r>
      <rPr>
        <sz val="10"/>
        <rFont val="Noto Sans CJK SC"/>
        <family val="2"/>
      </rPr>
      <t>公里，高松自動車道</t>
    </r>
  </si>
  <si>
    <t>高松中央商店街 午餐＋自由活動</t>
  </si>
  <si>
    <r>
      <rPr>
        <sz val="10"/>
        <rFont val="Noto Sans CJK SC"/>
        <family val="2"/>
      </rPr>
      <t xml:space="preserve">手冊註明午餐敬請自理；建議留 </t>
    </r>
    <r>
      <rPr>
        <sz val="10"/>
        <rFont val="Arial"/>
        <family val="2"/>
      </rPr>
      <t xml:space="preserve">30–40 </t>
    </r>
    <r>
      <rPr>
        <sz val="10"/>
        <rFont val="Noto Sans CJK SC"/>
        <family val="2"/>
      </rPr>
      <t>分鐘用餐</t>
    </r>
  </si>
  <si>
    <t>高松中央商店街 → 栗林公園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</si>
  <si>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3 </t>
    </r>
    <r>
      <rPr>
        <sz val="10"/>
        <rFont val="Noto Sans CJK SC"/>
        <family val="2"/>
      </rPr>
      <t>公里</t>
    </r>
  </si>
  <si>
    <t>栗林公園（含抹茶體驗＋和菓子）</t>
  </si>
  <si>
    <t>米其林三星、國家指定特別名勝；六水池十三假山，南庭掬月亭抹茶體驗</t>
  </si>
  <si>
    <t>栗林公園 → 高松機場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</si>
  <si>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2"/>
      </rPr>
      <t xml:space="preserve">15 </t>
    </r>
    <r>
      <rPr>
        <sz val="10"/>
        <rFont val="Noto Sans CJK SC"/>
        <family val="2"/>
      </rPr>
      <t>公里，國道</t>
    </r>
    <r>
      <rPr>
        <sz val="10"/>
        <rFont val="Arial"/>
        <family val="2"/>
      </rPr>
      <t>193</t>
    </r>
    <r>
      <rPr>
        <sz val="10"/>
        <rFont val="Noto Sans CJK SC"/>
        <family val="2"/>
      </rPr>
      <t>號</t>
    </r>
  </si>
  <si>
    <t>高松機場 報到、託運、出境、候機</t>
  </si>
  <si>
    <r>
      <rPr>
        <sz val="10"/>
        <rFont val="Noto Sans CJK SC"/>
        <family val="2"/>
      </rPr>
      <t xml:space="preserve">國際線建議提前 </t>
    </r>
    <r>
      <rPr>
        <sz val="10"/>
        <rFont val="Arial"/>
        <family val="2"/>
      </rPr>
      <t xml:space="preserve">2.5 </t>
    </r>
    <r>
      <rPr>
        <sz val="10"/>
        <rFont val="Noto Sans CJK SC"/>
        <family val="2"/>
      </rPr>
      <t>小時；此段為緩衝時間，可視自由活動延長而壓縮</t>
    </r>
  </si>
  <si>
    <r>
      <rPr>
        <sz val="10"/>
        <rFont val="Arial"/>
        <family val="2"/>
      </rPr>
      <t>CI 179</t>
    </r>
    <r>
      <rPr>
        <sz val="10"/>
        <rFont val="Noto Sans CJK SC"/>
        <family val="2"/>
      </rPr>
      <t xml:space="preserve">　高松 </t>
    </r>
    <r>
      <rPr>
        <sz val="10"/>
        <rFont val="Arial"/>
        <family val="2"/>
      </rPr>
      <t xml:space="preserve">TAK → </t>
    </r>
    <r>
      <rPr>
        <sz val="10"/>
        <rFont val="Noto Sans CJK SC"/>
        <family val="2"/>
      </rPr>
      <t xml:space="preserve">桃園 </t>
    </r>
    <r>
      <rPr>
        <sz val="10"/>
        <rFont val="Arial"/>
        <family val="2"/>
      </rPr>
      <t>TPE</t>
    </r>
  </si>
  <si>
    <r>
      <rPr>
        <sz val="10"/>
        <rFont val="Noto Sans CJK SC"/>
        <family val="2"/>
      </rPr>
      <t xml:space="preserve">飛行 </t>
    </r>
    <r>
      <rPr>
        <sz val="10"/>
        <rFont val="Arial"/>
        <family val="2"/>
      </rPr>
      <t>2h40m</t>
    </r>
    <r>
      <rPr>
        <sz val="10"/>
        <rFont val="Noto Sans CJK SC"/>
        <family val="2"/>
      </rPr>
      <t xml:space="preserve">；起飛 </t>
    </r>
    <r>
      <rPr>
        <sz val="10"/>
        <rFont val="Arial"/>
        <family val="2"/>
      </rPr>
      <t xml:space="preserve">19:05 </t>
    </r>
    <r>
      <rPr>
        <sz val="10"/>
        <rFont val="Noto Sans CJK SC"/>
        <family val="2"/>
      </rPr>
      <t xml:space="preserve">為日本時間，抵達 </t>
    </r>
    <r>
      <rPr>
        <sz val="10"/>
        <rFont val="Arial"/>
        <family val="2"/>
      </rPr>
      <t xml:space="preserve">20:55 </t>
    </r>
    <r>
      <rPr>
        <sz val="10"/>
        <rFont val="Noto Sans CJK SC"/>
        <family val="2"/>
      </rPr>
      <t>為台灣時間（</t>
    </r>
    <r>
      <rPr>
        <sz val="10"/>
        <rFont val="Arial"/>
        <family val="2"/>
      </rPr>
      <t>-1h</t>
    </r>
    <r>
      <rPr>
        <sz val="10"/>
        <rFont val="Noto Sans CJK SC"/>
        <family val="2"/>
      </rPr>
      <t>）</t>
    </r>
  </si>
  <si>
    <t>桃園機場 入境、提領行李、解散／回程接駁</t>
  </si>
  <si>
    <t>回程實際抵達時間可查桃園機場官網「客機抵達查詢」</t>
  </si>
  <si>
    <t>交通段落時間估算依據</t>
  </si>
  <si>
    <t>航班、汽船時間為手冊明載；陸路時間依實際距離與國道／高速道路一般車速推估，含團體上下車緩衝。</t>
  </si>
  <si>
    <t>起點</t>
  </si>
  <si>
    <t>終點</t>
  </si>
  <si>
    <t>方式</t>
  </si>
  <si>
    <r>
      <rPr>
        <b/>
        <sz val="11"/>
        <color rgb="FFFFFFFF"/>
        <rFont val="Noto Sans CJK SC"/>
        <family val="2"/>
      </rPr>
      <t>距離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約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</si>
  <si>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>估計時間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分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</si>
  <si>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>估計時間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時</t>
    </r>
    <r>
      <rPr>
        <b/>
        <sz val="11"/>
        <color rgb="FFFFFFFF"/>
        <rFont val="Arial"/>
        <family val="2"/>
      </rPr>
      <t>:</t>
    </r>
    <r>
      <rPr>
        <b/>
        <sz val="11"/>
        <color rgb="FFFFFFFF"/>
        <rFont val="Noto Sans CJK SC"/>
        <family val="2"/>
      </rPr>
      <t>分</t>
    </r>
    <r>
      <rPr>
        <b/>
        <sz val="11"/>
        <color rgb="FFFFFFFF"/>
        <rFont val="Arial"/>
        <family val="2"/>
      </rPr>
      <t>)</t>
    </r>
  </si>
  <si>
    <t>依據</t>
  </si>
  <si>
    <r>
      <rPr>
        <sz val="10"/>
        <rFont val="Noto Sans CJK SC"/>
        <family val="2"/>
      </rPr>
      <t xml:space="preserve">桃園 </t>
    </r>
    <r>
      <rPr>
        <sz val="10"/>
        <rFont val="Arial"/>
        <family val="2"/>
      </rPr>
      <t>TPE</t>
    </r>
  </si>
  <si>
    <r>
      <rPr>
        <sz val="10"/>
        <rFont val="Noto Sans CJK SC"/>
        <family val="2"/>
      </rPr>
      <t xml:space="preserve">廣島 </t>
    </r>
    <r>
      <rPr>
        <sz val="10"/>
        <rFont val="Arial"/>
        <family val="2"/>
      </rPr>
      <t>HIJ</t>
    </r>
  </si>
  <si>
    <r>
      <rPr>
        <sz val="10"/>
        <rFont val="Noto Sans CJK SC"/>
        <family val="2"/>
      </rPr>
      <t xml:space="preserve">飛機 </t>
    </r>
    <r>
      <rPr>
        <sz val="10"/>
        <rFont val="Arial"/>
        <family val="2"/>
      </rPr>
      <t>CI112</t>
    </r>
  </si>
  <si>
    <r>
      <rPr>
        <sz val="10"/>
        <rFont val="Noto Sans CJK SC"/>
        <family val="2"/>
      </rPr>
      <t xml:space="preserve">手冊明載 </t>
    </r>
    <r>
      <rPr>
        <sz val="10"/>
        <rFont val="Arial"/>
        <family val="2"/>
      </rPr>
      <t>2h25m</t>
    </r>
  </si>
  <si>
    <t>廣島機場</t>
  </si>
  <si>
    <t>宮島口</t>
  </si>
  <si>
    <t>75 km</t>
  </si>
  <si>
    <r>
      <rPr>
        <sz val="10"/>
        <rFont val="Noto Sans CJK SC"/>
        <family val="2"/>
      </rPr>
      <t>山陽道→廿日市</t>
    </r>
    <r>
      <rPr>
        <sz val="10"/>
        <rFont val="Arial"/>
        <family val="2"/>
      </rPr>
      <t>IC</t>
    </r>
  </si>
  <si>
    <t>宮島棧橋</t>
  </si>
  <si>
    <t>1.8 km</t>
  </si>
  <si>
    <r>
      <rPr>
        <sz val="10"/>
        <rFont val="Noto Sans CJK SC"/>
        <family val="2"/>
      </rPr>
      <t xml:space="preserve">航程 </t>
    </r>
    <r>
      <rPr>
        <sz val="10"/>
        <rFont val="Arial"/>
        <family val="2"/>
      </rPr>
      <t xml:space="preserve">10 </t>
    </r>
    <r>
      <rPr>
        <sz val="10"/>
        <rFont val="Noto Sans CJK SC"/>
        <family val="2"/>
      </rPr>
      <t>分＋候船</t>
    </r>
  </si>
  <si>
    <t>廣島市區</t>
  </si>
  <si>
    <t>25 km</t>
  </si>
  <si>
    <r>
      <rPr>
        <sz val="10"/>
        <rFont val="Noto Sans CJK SC"/>
        <family val="2"/>
      </rPr>
      <t>國道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號／廣島岩國道路</t>
    </r>
  </si>
  <si>
    <t>廣島市區飯店</t>
  </si>
  <si>
    <t>廣島港（宇品）</t>
  </si>
  <si>
    <t>6 km</t>
  </si>
  <si>
    <t>市區道路</t>
  </si>
  <si>
    <t>廣島港</t>
  </si>
  <si>
    <t>吳中央碼頭</t>
  </si>
  <si>
    <r>
      <rPr>
        <sz val="10"/>
        <rFont val="Noto Sans CJK SC"/>
        <family val="2"/>
      </rPr>
      <t xml:space="preserve">手冊明載約 </t>
    </r>
    <r>
      <rPr>
        <sz val="10"/>
        <rFont val="Arial"/>
        <family val="2"/>
      </rPr>
      <t xml:space="preserve">45 </t>
    </r>
    <r>
      <rPr>
        <sz val="10"/>
        <rFont val="Noto Sans CJK SC"/>
        <family val="2"/>
      </rPr>
      <t>分</t>
    </r>
  </si>
  <si>
    <t>松山觀光港</t>
  </si>
  <si>
    <r>
      <rPr>
        <sz val="10"/>
        <rFont val="Noto Sans CJK SC"/>
        <family val="2"/>
      </rPr>
      <t xml:space="preserve">手冊明載約 </t>
    </r>
    <r>
      <rPr>
        <sz val="10"/>
        <rFont val="Arial"/>
        <family val="2"/>
      </rPr>
      <t>1h55m</t>
    </r>
  </si>
  <si>
    <t>松山城纜車站</t>
  </si>
  <si>
    <t>10 km</t>
  </si>
  <si>
    <t>松山城</t>
  </si>
  <si>
    <t>道後溫泉</t>
  </si>
  <si>
    <t>4 km</t>
  </si>
  <si>
    <t>今治</t>
  </si>
  <si>
    <t>45 km</t>
  </si>
  <si>
    <t>松山道／今治小松道</t>
  </si>
  <si>
    <t>15 km</t>
  </si>
  <si>
    <r>
      <rPr>
        <sz val="10"/>
        <rFont val="Noto Sans CJK SC"/>
        <family val="2"/>
      </rPr>
      <t>國道</t>
    </r>
    <r>
      <rPr>
        <sz val="10"/>
        <rFont val="Arial"/>
        <family val="2"/>
      </rPr>
      <t>196</t>
    </r>
    <r>
      <rPr>
        <sz val="10"/>
        <rFont val="Noto Sans CJK SC"/>
        <family val="2"/>
      </rPr>
      <t>號</t>
    </r>
  </si>
  <si>
    <t>高松</t>
  </si>
  <si>
    <t>140 km</t>
  </si>
  <si>
    <r>
      <rPr>
        <sz val="10"/>
        <rFont val="Noto Sans CJK SC"/>
        <family val="2"/>
      </rPr>
      <t xml:space="preserve">松山道→高松道，含休息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>次</t>
    </r>
  </si>
  <si>
    <t>坂出 瀨戶大橋紀念公園</t>
  </si>
  <si>
    <t>30 km</t>
  </si>
  <si>
    <r>
      <rPr>
        <sz val="10"/>
        <rFont val="Noto Sans CJK SC"/>
        <family val="2"/>
      </rPr>
      <t>高松道→坂出北</t>
    </r>
    <r>
      <rPr>
        <sz val="10"/>
        <rFont val="Arial"/>
        <family val="2"/>
      </rPr>
      <t>IC</t>
    </r>
  </si>
  <si>
    <t>坂出</t>
  </si>
  <si>
    <t>琴平</t>
  </si>
  <si>
    <r>
      <rPr>
        <sz val="10"/>
        <rFont val="Noto Sans CJK SC"/>
        <family val="2"/>
      </rPr>
      <t>國道</t>
    </r>
    <r>
      <rPr>
        <sz val="10"/>
        <rFont val="Arial"/>
        <family val="2"/>
      </rPr>
      <t>32</t>
    </r>
    <r>
      <rPr>
        <sz val="10"/>
        <rFont val="Noto Sans CJK SC"/>
        <family val="2"/>
      </rPr>
      <t>號</t>
    </r>
  </si>
  <si>
    <t>金刀比羅宮</t>
  </si>
  <si>
    <t>琴參閣</t>
  </si>
  <si>
    <t>1 km</t>
  </si>
  <si>
    <t>町內道路</t>
  </si>
  <si>
    <r>
      <rPr>
        <sz val="10"/>
        <rFont val="Noto Sans CJK SC"/>
        <family val="2"/>
      </rPr>
      <t>國道</t>
    </r>
    <r>
      <rPr>
        <sz val="10"/>
        <rFont val="Arial"/>
        <family val="2"/>
      </rPr>
      <t>319</t>
    </r>
    <r>
      <rPr>
        <sz val="10"/>
        <rFont val="Noto Sans CJK SC"/>
        <family val="2"/>
      </rPr>
      <t>號</t>
    </r>
  </si>
  <si>
    <t>高松市區</t>
  </si>
  <si>
    <t>40 km</t>
  </si>
  <si>
    <t>高松自動車道</t>
  </si>
  <si>
    <t>高松中央商店街</t>
  </si>
  <si>
    <t>栗林公園</t>
  </si>
  <si>
    <t>3 km</t>
  </si>
  <si>
    <t>高松機場</t>
  </si>
  <si>
    <r>
      <rPr>
        <sz val="10"/>
        <rFont val="Noto Sans CJK SC"/>
        <family val="2"/>
      </rPr>
      <t>國道</t>
    </r>
    <r>
      <rPr>
        <sz val="10"/>
        <rFont val="Arial"/>
        <family val="2"/>
      </rPr>
      <t>193</t>
    </r>
    <r>
      <rPr>
        <sz val="10"/>
        <rFont val="Noto Sans CJK SC"/>
        <family val="2"/>
      </rPr>
      <t>號</t>
    </r>
  </si>
  <si>
    <r>
      <rPr>
        <sz val="10"/>
        <rFont val="Noto Sans CJK SC"/>
        <family val="2"/>
      </rPr>
      <t xml:space="preserve">高松 </t>
    </r>
    <r>
      <rPr>
        <sz val="10"/>
        <rFont val="Arial"/>
        <family val="2"/>
      </rPr>
      <t>TAK</t>
    </r>
  </si>
  <si>
    <r>
      <rPr>
        <sz val="10"/>
        <rFont val="Noto Sans CJK SC"/>
        <family val="2"/>
      </rPr>
      <t xml:space="preserve">飛機 </t>
    </r>
    <r>
      <rPr>
        <sz val="10"/>
        <rFont val="Arial"/>
        <family val="2"/>
      </rPr>
      <t>CI179</t>
    </r>
  </si>
  <si>
    <r>
      <rPr>
        <sz val="10"/>
        <rFont val="Noto Sans CJK SC"/>
        <family val="2"/>
      </rPr>
      <t xml:space="preserve">手冊明載 </t>
    </r>
    <r>
      <rPr>
        <sz val="10"/>
        <rFont val="Arial"/>
        <family val="2"/>
      </rPr>
      <t>2h40m</t>
    </r>
  </si>
  <si>
    <t>合計</t>
  </si>
  <si>
    <t>住宿資訊與緊急聯絡</t>
  </si>
  <si>
    <t>夜次</t>
  </si>
  <si>
    <t>飯店</t>
  </si>
  <si>
    <t>日文名稱</t>
  </si>
  <si>
    <t>電話</t>
  </si>
  <si>
    <t>地址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</si>
  <si>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夜</t>
    </r>
  </si>
  <si>
    <t>リーガロイヤルホテル広島</t>
  </si>
  <si>
    <t>+81 82-502-1121</t>
  </si>
  <si>
    <r>
      <rPr>
        <sz val="10"/>
        <rFont val="Noto Sans CJK SC"/>
        <family val="2"/>
      </rPr>
      <t>〒</t>
    </r>
    <r>
      <rPr>
        <sz val="10"/>
        <rFont val="Arial"/>
        <family val="2"/>
      </rPr>
      <t xml:space="preserve">730-0011 </t>
    </r>
    <r>
      <rPr>
        <sz val="10"/>
        <rFont val="Noto Sans CJK SC"/>
        <family val="2"/>
      </rPr>
      <t xml:space="preserve">広島県広島市中区基町 </t>
    </r>
    <r>
      <rPr>
        <sz val="10"/>
        <rFont val="Arial"/>
        <family val="2"/>
      </rPr>
      <t>6-78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</si>
  <si>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夜</t>
    </r>
  </si>
  <si>
    <t>今治国際ホテル</t>
  </si>
  <si>
    <t>+81 898-36-1111</t>
  </si>
  <si>
    <r>
      <rPr>
        <sz val="10"/>
        <rFont val="Noto Sans CJK SC"/>
        <family val="2"/>
      </rPr>
      <t>〒</t>
    </r>
    <r>
      <rPr>
        <sz val="10"/>
        <rFont val="Arial"/>
        <family val="2"/>
      </rPr>
      <t xml:space="preserve">794-0025 </t>
    </r>
    <r>
      <rPr>
        <sz val="10"/>
        <rFont val="Noto Sans CJK SC"/>
        <family val="2"/>
      </rPr>
      <t xml:space="preserve">愛媛県今治市旭町 </t>
    </r>
    <r>
      <rPr>
        <sz val="10"/>
        <rFont val="Arial"/>
        <family val="2"/>
      </rPr>
      <t>2-3-4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</si>
  <si>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夜</t>
    </r>
  </si>
  <si>
    <r>
      <rPr>
        <sz val="10"/>
        <rFont val="Arial"/>
        <family val="2"/>
      </rPr>
      <t>JR</t>
    </r>
    <r>
      <rPr>
        <sz val="10"/>
        <rFont val="Noto Sans CJK SC"/>
        <family val="2"/>
      </rPr>
      <t>ホテルクレメント高松</t>
    </r>
  </si>
  <si>
    <t>+81 87-811-1111</t>
  </si>
  <si>
    <r>
      <rPr>
        <sz val="10"/>
        <rFont val="Noto Sans CJK SC"/>
        <family val="2"/>
      </rPr>
      <t>〒</t>
    </r>
    <r>
      <rPr>
        <sz val="10"/>
        <rFont val="Arial"/>
        <family val="2"/>
      </rPr>
      <t xml:space="preserve">760-0011 </t>
    </r>
    <r>
      <rPr>
        <sz val="10"/>
        <rFont val="Noto Sans CJK SC"/>
        <family val="2"/>
      </rPr>
      <t xml:space="preserve">香川県高松市浜ノ町 </t>
    </r>
    <r>
      <rPr>
        <sz val="10"/>
        <rFont val="Arial"/>
        <family val="2"/>
      </rPr>
      <t>1-1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</si>
  <si>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夜</t>
    </r>
  </si>
  <si>
    <t>ことひら温泉 琴参閣</t>
  </si>
  <si>
    <t>+81 877-75-1000</t>
  </si>
  <si>
    <r>
      <rPr>
        <sz val="10"/>
        <rFont val="Noto Sans CJK SC"/>
        <family val="2"/>
      </rPr>
      <t>〒</t>
    </r>
    <r>
      <rPr>
        <sz val="10"/>
        <rFont val="Arial"/>
        <family val="2"/>
      </rPr>
      <t xml:space="preserve">766-0001 </t>
    </r>
    <r>
      <rPr>
        <sz val="10"/>
        <rFont val="Noto Sans CJK SC"/>
        <family val="2"/>
      </rPr>
      <t xml:space="preserve">香川県仲多度郡琴平町 </t>
    </r>
    <r>
      <rPr>
        <sz val="10"/>
        <rFont val="Arial"/>
        <family val="2"/>
      </rPr>
      <t>685-11</t>
    </r>
  </si>
  <si>
    <t>緊急聯絡</t>
  </si>
  <si>
    <t>見紙本手冊</t>
  </si>
  <si>
    <t>—</t>
  </si>
  <si>
    <t>見紙本手冊</t>
  </si>
  <si>
    <t>—</t>
  </si>
  <si>
    <t>見紙本手冊</t>
  </si>
  <si>
    <t>—</t>
  </si>
  <si>
    <t>日本緊急電話</t>
  </si>
  <si>
    <t>一般報案</t>
  </si>
  <si>
    <t>110</t>
  </si>
  <si>
    <t>打回台灣市話</t>
  </si>
  <si>
    <r>
      <rPr>
        <sz val="10"/>
        <rFont val="Arial"/>
        <family val="2"/>
      </rPr>
      <t xml:space="preserve">001 + 886 + </t>
    </r>
    <r>
      <rPr>
        <sz val="10"/>
        <rFont val="Noto Sans CJK SC"/>
        <family val="2"/>
      </rPr>
      <t>區碼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去</t>
    </r>
    <r>
      <rPr>
        <sz val="10"/>
        <rFont val="Arial"/>
        <family val="2"/>
      </rPr>
      <t xml:space="preserve">0) + </t>
    </r>
    <r>
      <rPr>
        <sz val="10"/>
        <rFont val="Noto Sans CJK SC"/>
        <family val="2"/>
      </rPr>
      <t>電話</t>
    </r>
  </si>
  <si>
    <r>
      <rPr>
        <sz val="10"/>
        <rFont val="Noto Sans CJK SC"/>
        <family val="2"/>
      </rPr>
      <t>例：</t>
    </r>
    <r>
      <rPr>
        <sz val="10"/>
        <rFont val="Arial"/>
        <family val="2"/>
      </rPr>
      <t>001-886-3-7170101</t>
    </r>
  </si>
  <si>
    <t>打回台灣手機</t>
  </si>
  <si>
    <r>
      <rPr>
        <sz val="10"/>
        <rFont val="Arial"/>
        <family val="2"/>
      </rPr>
      <t xml:space="preserve">001 + 886 + </t>
    </r>
    <r>
      <rPr>
        <sz val="10"/>
        <rFont val="Noto Sans CJK SC"/>
        <family val="2"/>
      </rPr>
      <t>手機號碼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去</t>
    </r>
    <r>
      <rPr>
        <sz val="10"/>
        <rFont val="Arial"/>
        <family val="2"/>
      </rPr>
      <t>0)</t>
    </r>
  </si>
  <si>
    <r>
      <rPr>
        <sz val="10"/>
        <rFont val="Noto Sans CJK SC"/>
        <family val="2"/>
      </rPr>
      <t>例：</t>
    </r>
    <r>
      <rPr>
        <sz val="10"/>
        <rFont val="Arial"/>
        <family val="2"/>
      </rPr>
      <t>001-886-932778899</t>
    </r>
  </si>
  <si>
    <t>使用說明與時間推估假設</t>
  </si>
  <si>
    <t>圖例</t>
  </si>
  <si>
    <t>藍色字</t>
  </si>
  <si>
    <t>手冊明載時刻，或可由你自行修改的輸入值（時長、起始時間）。</t>
  </si>
  <si>
    <t>黑色字</t>
  </si>
  <si>
    <r>
      <rPr>
        <sz val="10"/>
        <rFont val="Noto Sans CJK SC"/>
        <family val="2"/>
      </rPr>
      <t>公式自動計算，請勿直接覆寫；改動「時長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分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」後會自動重算。</t>
    </r>
  </si>
  <si>
    <t>時間鏈結邏輯</t>
  </si>
  <si>
    <t>開始時間</t>
  </si>
  <si>
    <t>每日第一列為輸入值（藍字），其餘各列＝上一列的「結束」時間。</t>
  </si>
  <si>
    <t>結束時間</t>
  </si>
  <si>
    <r>
      <rPr>
        <sz val="10"/>
        <rFont val="Noto Sans CJK SC"/>
        <family val="2"/>
      </rPr>
      <t xml:space="preserve">＝開始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時長 </t>
    </r>
    <r>
      <rPr>
        <sz val="10"/>
        <rFont val="Arial"/>
        <family val="2"/>
      </rPr>
      <t>÷ 1440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 xml:space="preserve">Excel </t>
    </r>
    <r>
      <rPr>
        <sz val="10"/>
        <rFont val="Noto Sans CJK SC"/>
        <family val="2"/>
      </rPr>
      <t>以「天」為時間單位，</t>
    </r>
    <r>
      <rPr>
        <sz val="10"/>
        <rFont val="Arial"/>
        <family val="2"/>
      </rPr>
      <t xml:space="preserve">1440 </t>
    </r>
    <r>
      <rPr>
        <sz val="10"/>
        <rFont val="Noto Sans CJK SC"/>
        <family val="2"/>
      </rPr>
      <t xml:space="preserve">分鐘 </t>
    </r>
    <r>
      <rPr>
        <sz val="10"/>
        <rFont val="Arial"/>
        <family val="2"/>
      </rPr>
      <t xml:space="preserve">= 1 </t>
    </r>
    <r>
      <rPr>
        <sz val="10"/>
        <rFont val="Noto Sans CJK SC"/>
        <family val="2"/>
      </rPr>
      <t>天）。</t>
    </r>
  </si>
  <si>
    <t>跨時區兩列</t>
  </si>
  <si>
    <r>
      <rPr>
        <sz val="10"/>
        <rFont val="Arial"/>
        <family val="2"/>
      </rPr>
      <t xml:space="preserve">CI112 </t>
    </r>
    <r>
      <rPr>
        <sz val="10"/>
        <rFont val="Noto Sans CJK SC"/>
        <family val="2"/>
      </rPr>
      <t xml:space="preserve">與 </t>
    </r>
    <r>
      <rPr>
        <sz val="10"/>
        <rFont val="Arial"/>
        <family val="2"/>
      </rPr>
      <t xml:space="preserve">CI179 </t>
    </r>
    <r>
      <rPr>
        <sz val="10"/>
        <rFont val="Noto Sans CJK SC"/>
        <family val="2"/>
      </rPr>
      <t xml:space="preserve">的「結束」為手冊明載抵達時刻（已含 </t>
    </r>
    <r>
      <rPr>
        <sz val="10"/>
        <rFont val="Arial"/>
        <family val="2"/>
      </rPr>
      <t xml:space="preserve">±1 </t>
    </r>
    <r>
      <rPr>
        <sz val="10"/>
        <rFont val="Noto Sans CJK SC"/>
        <family val="2"/>
      </rPr>
      <t>小時時差），未套用公式。</t>
    </r>
  </si>
  <si>
    <t>推估依據與假設</t>
  </si>
  <si>
    <t>1</t>
  </si>
  <si>
    <r>
      <rPr>
        <sz val="10"/>
        <rFont val="Noto Sans CJK SC"/>
        <family val="2"/>
      </rPr>
      <t xml:space="preserve">手冊僅載航班、集合時刻與各日「早餐時間／出發時間」空白欄，故每日出發時間以 </t>
    </r>
    <r>
      <rPr>
        <sz val="10"/>
        <rFont val="Arial"/>
        <family val="2"/>
      </rPr>
      <t xml:space="preserve">08:30–09:00 </t>
    </r>
    <r>
      <rPr>
        <sz val="10"/>
        <rFont val="Noto Sans CJK SC"/>
        <family val="2"/>
      </rPr>
      <t>之常見團體作息推估。</t>
    </r>
  </si>
  <si>
    <t>2</t>
  </si>
  <si>
    <r>
      <rPr>
        <sz val="10"/>
        <rFont val="Noto Sans CJK SC"/>
        <family val="2"/>
      </rPr>
      <t xml:space="preserve">陸路移動採日本高速道路平均 </t>
    </r>
    <r>
      <rPr>
        <sz val="10"/>
        <rFont val="Arial"/>
        <family val="2"/>
      </rPr>
      <t>75–85 km/h</t>
    </r>
    <r>
      <rPr>
        <sz val="10"/>
        <rFont val="Noto Sans CJK SC"/>
        <family val="2"/>
      </rPr>
      <t xml:space="preserve">、一般國道 </t>
    </r>
    <r>
      <rPr>
        <sz val="10"/>
        <rFont val="Arial"/>
        <family val="2"/>
      </rPr>
      <t xml:space="preserve">40–50 km/h </t>
    </r>
    <r>
      <rPr>
        <sz val="10"/>
        <rFont val="Noto Sans CJK SC"/>
        <family val="2"/>
      </rPr>
      <t>估算，並加計團體上下車與休息站緩衝。</t>
    </r>
  </si>
  <si>
    <t>3</t>
  </si>
  <si>
    <r>
      <rPr>
        <sz val="10"/>
        <rFont val="Arial"/>
        <family val="2"/>
      </rPr>
      <t xml:space="preserve">Day 2 </t>
    </r>
    <r>
      <rPr>
        <sz val="10"/>
        <rFont val="Noto Sans CJK SC"/>
        <family val="2"/>
      </rPr>
      <t>廣島港→吳→松山之汽船時間直接引用手冊數值（</t>
    </r>
    <r>
      <rPr>
        <sz val="10"/>
        <rFont val="Arial"/>
        <family val="2"/>
      </rPr>
      <t xml:space="preserve">45 </t>
    </r>
    <r>
      <rPr>
        <sz val="10"/>
        <rFont val="Noto Sans CJK SC"/>
        <family val="2"/>
      </rPr>
      <t>分／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小時 </t>
    </r>
    <r>
      <rPr>
        <sz val="10"/>
        <rFont val="Arial"/>
        <family val="2"/>
      </rPr>
      <t xml:space="preserve">55 </t>
    </r>
    <r>
      <rPr>
        <sz val="10"/>
        <rFont val="Noto Sans CJK SC"/>
        <family val="2"/>
      </rPr>
      <t>分），實際班次時刻依當日安排。</t>
    </r>
  </si>
  <si>
    <t>4</t>
  </si>
  <si>
    <r>
      <rPr>
        <sz val="10"/>
        <rFont val="Arial"/>
        <family val="2"/>
      </rPr>
      <t xml:space="preserve">Day 5 </t>
    </r>
    <r>
      <rPr>
        <sz val="10"/>
        <rFont val="Noto Sans CJK SC"/>
        <family val="2"/>
      </rPr>
      <t xml:space="preserve">高松機場報到緩衝設 </t>
    </r>
    <r>
      <rPr>
        <sz val="10"/>
        <rFont val="Arial"/>
        <family val="2"/>
      </rPr>
      <t xml:space="preserve">165 </t>
    </r>
    <r>
      <rPr>
        <sz val="10"/>
        <rFont val="Noto Sans CJK SC"/>
        <family val="2"/>
      </rPr>
      <t xml:space="preserve">分鐘；若商店街或栗林公園想多留時間，可自此段扣減，但建議至少保留 </t>
    </r>
    <r>
      <rPr>
        <sz val="10"/>
        <rFont val="Arial"/>
        <family val="2"/>
      </rPr>
      <t xml:space="preserve">120 </t>
    </r>
    <r>
      <rPr>
        <sz val="10"/>
        <rFont val="Noto Sans CJK SC"/>
        <family val="2"/>
      </rPr>
      <t>分鐘。</t>
    </r>
  </si>
  <si>
    <t>5</t>
  </si>
  <si>
    <r>
      <rPr>
        <sz val="10"/>
        <rFont val="Noto Sans CJK SC"/>
        <family val="2"/>
      </rPr>
      <t>金刀比羅宮以參拜至「御本宮」（</t>
    </r>
    <r>
      <rPr>
        <sz val="10"/>
        <rFont val="Arial"/>
        <family val="2"/>
      </rPr>
      <t xml:space="preserve">785 </t>
    </r>
    <r>
      <rPr>
        <sz val="10"/>
        <rFont val="Noto Sans CJK SC"/>
        <family val="2"/>
      </rPr>
      <t>階）來回估算；若續登奧社（</t>
    </r>
    <r>
      <rPr>
        <sz val="10"/>
        <rFont val="Arial"/>
        <family val="2"/>
      </rPr>
      <t xml:space="preserve">1368 </t>
    </r>
    <r>
      <rPr>
        <sz val="10"/>
        <rFont val="Noto Sans CJK SC"/>
        <family val="2"/>
      </rPr>
      <t xml:space="preserve">階）需再增加約 </t>
    </r>
    <r>
      <rPr>
        <sz val="10"/>
        <rFont val="Arial"/>
        <family val="2"/>
      </rPr>
      <t xml:space="preserve">60–90 </t>
    </r>
    <r>
      <rPr>
        <sz val="10"/>
        <rFont val="Noto Sans CJK SC"/>
        <family val="2"/>
      </rPr>
      <t>分鐘。</t>
    </r>
  </si>
  <si>
    <t>6</t>
  </si>
  <si>
    <t>各景點停留時間為一般團體參觀時長，實際以隨團導遊現場公告為準。</t>
  </si>
  <si>
    <t>資料來源</t>
  </si>
  <si>
    <r>
      <rPr>
        <sz val="10"/>
        <rFont val="Noto Sans CJK SC"/>
        <family val="2"/>
      </rPr>
      <t>旅行社提供之廣島高松 5 日旅遊手冊（2026.09.24–09.28 版）。</t>
    </r>
  </si>
  <si>
    <r>
      <rPr>
        <sz val="10"/>
        <rFont val="微軟正黑體"/>
        <family val="2"/>
        <charset val="136"/>
      </rPr>
      <t>高松</t>
    </r>
    <r>
      <rPr>
        <sz val="10"/>
        <rFont val="Arial"/>
        <family val="2"/>
      </rPr>
      <t xml:space="preserve"> </t>
    </r>
    <r>
      <rPr>
        <sz val="10"/>
        <rFont val="Noto Sans CJK SC"/>
        <family val="2"/>
        <charset val="136"/>
      </rPr>
      <t>→</t>
    </r>
    <r>
      <rPr>
        <sz val="10"/>
        <rFont val="Arial"/>
        <family val="2"/>
      </rPr>
      <t xml:space="preserve"> </t>
    </r>
    <r>
      <rPr>
        <sz val="10"/>
        <rFont val="微軟正黑體"/>
        <family val="2"/>
        <charset val="136"/>
      </rPr>
      <t>坂出</t>
    </r>
    <r>
      <rPr>
        <sz val="10"/>
        <rFont val="Arial"/>
        <family val="2"/>
      </rPr>
      <t xml:space="preserve"> </t>
    </r>
    <r>
      <rPr>
        <sz val="10"/>
        <rFont val="微軟正黑體"/>
        <family val="2"/>
        <charset val="136"/>
      </rPr>
      <t>瀨戶大橋紀念公園</t>
    </r>
    <phoneticPr fontId="15" type="noConversion"/>
  </si>
  <si>
    <r>
      <rPr>
        <sz val="10"/>
        <rFont val="微軟正黑體"/>
        <family val="2"/>
        <charset val="136"/>
      </rPr>
      <t>金刀比羅宮</t>
    </r>
    <r>
      <rPr>
        <sz val="10"/>
        <rFont val="Arial"/>
        <family val="2"/>
      </rPr>
      <t xml:space="preserve"> </t>
    </r>
    <r>
      <rPr>
        <sz val="10"/>
        <rFont val="微軟正黑體"/>
        <family val="2"/>
        <charset val="136"/>
      </rPr>
      <t>參拜</t>
    </r>
    <phoneticPr fontId="15" type="noConversion"/>
  </si>
  <si>
    <r>
      <t>Xx:Xx</t>
    </r>
    <r>
      <rPr>
        <sz val="10"/>
        <rFont val="微軟正黑體"/>
        <family val="2"/>
        <charset val="136"/>
      </rPr>
      <t>　指定集合地點（詳見紙本手冊）</t>
    </r>
    <phoneticPr fontId="15" type="noConversion"/>
  </si>
  <si>
    <r>
      <rPr>
        <b/>
        <sz val="14"/>
        <color rgb="FF1F4E79"/>
        <rFont val="微軟正黑體"/>
        <family val="2"/>
        <charset val="136"/>
      </rPr>
      <t>廣島・高松</t>
    </r>
    <r>
      <rPr>
        <b/>
        <sz val="14"/>
        <color rgb="FF1F4E79"/>
        <rFont val="Arial"/>
        <family val="2"/>
      </rPr>
      <t xml:space="preserve"> 5 </t>
    </r>
    <r>
      <rPr>
        <b/>
        <sz val="14"/>
        <color rgb="FF1F4E79"/>
        <rFont val="微軟正黑體"/>
        <family val="2"/>
        <charset val="136"/>
      </rPr>
      <t>日｜跟團行程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</si>
</sst>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h:mm"/>
    <numFmt numFmtId="178" formatCode="[h]:mm"/>
  </numFmts>
  <fonts count="20">
    <font>
      <sz val="11"/>
      <color theme="1"/>
      <name val="Calibri"/>
      <family val="2"/>
      <charset val="1"/>
    </font>
    <font>
      <b/>
      <sz val="14"/>
      <color rgb="FF1F4E79"/>
      <name val="Noto Sans CJK SC"/>
      <family val="2"/>
    </font>
    <font>
      <b/>
      <sz val="14"/>
      <color rgb="FF1F4E79"/>
      <name val="Arial"/>
      <family val="2"/>
    </font>
    <font>
      <sz val="10"/>
      <color rgb="FF808080"/>
      <name val="Arial"/>
      <family val="2"/>
    </font>
    <font>
      <sz val="10"/>
      <color rgb="FF808080"/>
      <name val="Noto Sans CJK SC"/>
      <family val="2"/>
    </font>
    <font>
      <b/>
      <sz val="11"/>
      <color rgb="FF1F4E79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1F4E79"/>
      <name val="Arial"/>
      <family val="2"/>
    </font>
    <font>
      <b/>
      <sz val="10"/>
      <color rgb="FF1F4E79"/>
      <name val="Noto Sans CJK SC"/>
      <family val="2"/>
    </font>
    <font>
      <sz val="10"/>
      <color rgb="FF0000FF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Noto Sans CJK SC"/>
      <family val="2"/>
      <charset val="136"/>
    </font>
    <font>
      <b/>
      <sz val="14"/>
      <color rgb="FF1F4E79"/>
      <name val="微軟正黑體"/>
      <family val="2"/>
      <charset val="136"/>
    </font>
    <font>
      <b/>
      <sz val="14"/>
      <color rgb="FF1F4E79"/>
      <name val="Noto Sans CJK S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77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/>
    <xf numFmtId="0" fontId="17" fillId="0" borderId="1" xfId="0" applyFont="1" applyBorder="1" applyAlignment="1">
      <alignment vertical="top" wrapText="1"/>
    </xf>
    <xf numFmtId="0" fontId="19" fillId="0" borderId="0" xfId="0" applyFont="1"/>
    <xf numFmtId="0" fontId="12" fillId="3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topLeftCell="A7" zoomScaleNormal="100" workbookViewId="0">
      <selection activeCell="C24" sqref="C24"/>
    </sheetView>
  </sheetViews>
  <sheetFormatPr defaultColWidth="8.6328125" defaultRowHeight="14.5"/>
  <cols>
    <col min="1" max="1" width="16" customWidth="1"/>
    <col min="2" max="2" width="13" customWidth="1"/>
    <col min="3" max="3" width="42" bestFit="1" customWidth="1"/>
    <col min="4" max="4" width="46" customWidth="1"/>
    <col min="5" max="5" width="24" customWidth="1"/>
  </cols>
  <sheetData>
    <row r="1" spans="1:5" ht="18.5">
      <c r="A1" s="29" t="s">
        <v>321</v>
      </c>
    </row>
    <row r="2" spans="1:5">
      <c r="A2" s="2" t="s">
        <v>0</v>
      </c>
    </row>
    <row r="4" spans="1:5">
      <c r="A4" s="3" t="s">
        <v>1</v>
      </c>
    </row>
    <row r="5" spans="1:5">
      <c r="A5" s="4" t="s">
        <v>2</v>
      </c>
      <c r="B5" s="5" t="s">
        <v>3</v>
      </c>
    </row>
    <row r="6" spans="1:5">
      <c r="A6" s="4" t="s">
        <v>4</v>
      </c>
      <c r="B6" s="5" t="s">
        <v>5</v>
      </c>
    </row>
    <row r="8" spans="1:5">
      <c r="A8" s="3" t="s">
        <v>6</v>
      </c>
    </row>
    <row r="9" spans="1:5">
      <c r="A9" s="4" t="s">
        <v>7</v>
      </c>
      <c r="B9" s="5" t="s">
        <v>320</v>
      </c>
    </row>
    <row r="10" spans="1:5">
      <c r="A10" s="4" t="s">
        <v>8</v>
      </c>
      <c r="B10" s="5" t="s">
        <v>9</v>
      </c>
    </row>
    <row r="11" spans="1:5">
      <c r="A11" s="4" t="s">
        <v>10</v>
      </c>
      <c r="B11" s="6" t="s">
        <v>11</v>
      </c>
    </row>
    <row r="12" spans="1:5">
      <c r="A12" s="4" t="s">
        <v>12</v>
      </c>
      <c r="B12" s="6" t="s">
        <v>13</v>
      </c>
    </row>
    <row r="13" spans="1:5">
      <c r="A13" s="4" t="s">
        <v>14</v>
      </c>
      <c r="B13" s="5" t="s">
        <v>15</v>
      </c>
    </row>
    <row r="15" spans="1:5">
      <c r="A15" s="3" t="s">
        <v>16</v>
      </c>
    </row>
    <row r="16" spans="1:5">
      <c r="A16" s="7" t="s">
        <v>17</v>
      </c>
      <c r="B16" s="8" t="s">
        <v>18</v>
      </c>
      <c r="C16" s="8" t="s">
        <v>19</v>
      </c>
      <c r="D16" s="8" t="s">
        <v>20</v>
      </c>
      <c r="E16" s="8" t="s">
        <v>21</v>
      </c>
    </row>
    <row r="17" spans="1:5">
      <c r="A17" s="9" t="s">
        <v>22</v>
      </c>
      <c r="B17" s="9" t="s">
        <v>23</v>
      </c>
      <c r="C17" s="10" t="s">
        <v>24</v>
      </c>
      <c r="D17" s="10" t="s">
        <v>25</v>
      </c>
      <c r="E17" s="10" t="s">
        <v>26</v>
      </c>
    </row>
    <row r="18" spans="1:5">
      <c r="A18" s="9" t="s">
        <v>27</v>
      </c>
      <c r="B18" s="9" t="s">
        <v>28</v>
      </c>
      <c r="C18" s="10" t="s">
        <v>29</v>
      </c>
      <c r="D18" s="10" t="s">
        <v>30</v>
      </c>
      <c r="E18" s="10" t="s">
        <v>31</v>
      </c>
    </row>
    <row r="19" spans="1:5">
      <c r="A19" s="9" t="s">
        <v>32</v>
      </c>
      <c r="B19" s="9" t="s">
        <v>33</v>
      </c>
      <c r="C19" s="10" t="s">
        <v>34</v>
      </c>
      <c r="D19" s="10" t="s">
        <v>35</v>
      </c>
      <c r="E19" s="9" t="s">
        <v>36</v>
      </c>
    </row>
    <row r="20" spans="1:5">
      <c r="A20" s="9" t="s">
        <v>37</v>
      </c>
      <c r="B20" s="9" t="s">
        <v>38</v>
      </c>
      <c r="C20" s="10" t="s">
        <v>39</v>
      </c>
      <c r="D20" s="10" t="s">
        <v>40</v>
      </c>
      <c r="E20" s="10" t="s">
        <v>41</v>
      </c>
    </row>
    <row r="21" spans="1:5">
      <c r="A21" s="9" t="s">
        <v>42</v>
      </c>
      <c r="B21" s="9" t="s">
        <v>43</v>
      </c>
      <c r="C21" s="10" t="s">
        <v>44</v>
      </c>
      <c r="D21" s="10" t="s">
        <v>45</v>
      </c>
      <c r="E21" s="10" t="s">
        <v>46</v>
      </c>
    </row>
    <row r="23" spans="1:5">
      <c r="A23" s="11" t="s">
        <v>47</v>
      </c>
    </row>
    <row r="24" spans="1:5">
      <c r="A24" s="11" t="s">
        <v>48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showGridLines="0" zoomScaleNormal="100" workbookViewId="0">
      <pane ySplit="4" topLeftCell="A65" activePane="bottomLeft" state="frozen"/>
      <selection pane="bottomLeft" activeCell="A7" sqref="A6:XFD7"/>
    </sheetView>
  </sheetViews>
  <sheetFormatPr defaultColWidth="8.6328125" defaultRowHeight="14.5"/>
  <cols>
    <col min="1" max="1" width="12" customWidth="1"/>
    <col min="2" max="2" width="5" customWidth="1"/>
    <col min="3" max="3" width="9" customWidth="1"/>
    <col min="4" max="4" width="10" customWidth="1"/>
    <col min="5" max="5" width="9" customWidth="1"/>
    <col min="6" max="6" width="8" customWidth="1"/>
    <col min="7" max="7" width="42" customWidth="1"/>
    <col min="8" max="8" width="14" customWidth="1"/>
    <col min="9" max="9" width="52" customWidth="1"/>
    <col min="10" max="10" width="10" customWidth="1"/>
  </cols>
  <sheetData>
    <row r="1" spans="1:10" ht="18">
      <c r="A1" s="1" t="s">
        <v>49</v>
      </c>
    </row>
    <row r="2" spans="1:10">
      <c r="A2" s="11" t="s">
        <v>50</v>
      </c>
    </row>
    <row r="4" spans="1:10">
      <c r="A4" s="8" t="s">
        <v>18</v>
      </c>
      <c r="B4" s="7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</row>
    <row r="5" spans="1:10">
      <c r="A5" s="30" t="s">
        <v>60</v>
      </c>
      <c r="B5" s="30"/>
      <c r="C5" s="30"/>
      <c r="D5" s="30"/>
      <c r="E5" s="30"/>
      <c r="F5" s="30"/>
      <c r="G5" s="30"/>
      <c r="H5" s="30"/>
      <c r="I5" s="30"/>
      <c r="J5" s="30"/>
    </row>
    <row r="6" spans="1:10">
      <c r="A6" s="9" t="s">
        <v>22</v>
      </c>
      <c r="B6" s="12">
        <v>3</v>
      </c>
      <c r="C6" s="15">
        <v>0.21527777777777779</v>
      </c>
      <c r="D6" s="14">
        <v>105</v>
      </c>
      <c r="E6" s="15">
        <f>C6+D6/1440</f>
        <v>0.28819444444444448</v>
      </c>
      <c r="F6" s="16" t="s">
        <v>67</v>
      </c>
      <c r="G6" s="10" t="s">
        <v>68</v>
      </c>
      <c r="H6" s="9" t="s">
        <v>62</v>
      </c>
      <c r="I6" s="10" t="s">
        <v>69</v>
      </c>
      <c r="J6" s="16" t="s">
        <v>63</v>
      </c>
    </row>
    <row r="7" spans="1:10" ht="25">
      <c r="A7" s="9" t="s">
        <v>22</v>
      </c>
      <c r="B7" s="12">
        <v>4</v>
      </c>
      <c r="C7" s="13">
        <v>0.29861111111111099</v>
      </c>
      <c r="D7" s="14">
        <v>145</v>
      </c>
      <c r="E7" s="13">
        <v>0.44097222222222199</v>
      </c>
      <c r="F7" s="16" t="s">
        <v>70</v>
      </c>
      <c r="G7" s="9" t="s">
        <v>71</v>
      </c>
      <c r="H7" s="10" t="s">
        <v>72</v>
      </c>
      <c r="I7" s="10" t="s">
        <v>73</v>
      </c>
      <c r="J7" s="16" t="s">
        <v>63</v>
      </c>
    </row>
    <row r="8" spans="1:10">
      <c r="A8" s="9" t="s">
        <v>22</v>
      </c>
      <c r="B8" s="12">
        <v>5</v>
      </c>
      <c r="C8" s="13">
        <v>0.44097222222222199</v>
      </c>
      <c r="D8" s="14">
        <v>45</v>
      </c>
      <c r="E8" s="15">
        <f t="shared" ref="E8:E18" si="0">C8+D8/1440</f>
        <v>0.47222222222222199</v>
      </c>
      <c r="F8" s="16" t="s">
        <v>67</v>
      </c>
      <c r="G8" s="10" t="s">
        <v>74</v>
      </c>
      <c r="H8" s="9" t="s">
        <v>62</v>
      </c>
      <c r="I8" s="10" t="s">
        <v>75</v>
      </c>
      <c r="J8" s="16" t="s">
        <v>66</v>
      </c>
    </row>
    <row r="9" spans="1:10">
      <c r="A9" s="9" t="s">
        <v>22</v>
      </c>
      <c r="B9" s="12">
        <v>6</v>
      </c>
      <c r="C9" s="15">
        <f t="shared" ref="C9:C18" si="1">E8</f>
        <v>0.47222222222222199</v>
      </c>
      <c r="D9" s="14">
        <v>85</v>
      </c>
      <c r="E9" s="15">
        <f t="shared" si="0"/>
        <v>0.53124999999999978</v>
      </c>
      <c r="F9" s="16" t="s">
        <v>64</v>
      </c>
      <c r="G9" s="10" t="s">
        <v>76</v>
      </c>
      <c r="H9" s="10" t="s">
        <v>65</v>
      </c>
      <c r="I9" s="10" t="s">
        <v>77</v>
      </c>
      <c r="J9" s="16" t="s">
        <v>66</v>
      </c>
    </row>
    <row r="10" spans="1:10" ht="25">
      <c r="A10" s="9" t="s">
        <v>22</v>
      </c>
      <c r="B10" s="12">
        <v>7</v>
      </c>
      <c r="C10" s="15">
        <f t="shared" si="1"/>
        <v>0.53124999999999978</v>
      </c>
      <c r="D10" s="14">
        <v>25</v>
      </c>
      <c r="E10" s="15">
        <f t="shared" si="0"/>
        <v>0.54861111111111094</v>
      </c>
      <c r="F10" s="16" t="s">
        <v>64</v>
      </c>
      <c r="G10" s="10" t="s">
        <v>78</v>
      </c>
      <c r="H10" s="10" t="s">
        <v>79</v>
      </c>
      <c r="I10" s="9" t="s">
        <v>80</v>
      </c>
      <c r="J10" s="16" t="s">
        <v>66</v>
      </c>
    </row>
    <row r="11" spans="1:10">
      <c r="A11" s="9" t="s">
        <v>22</v>
      </c>
      <c r="B11" s="12">
        <v>8</v>
      </c>
      <c r="C11" s="15">
        <f t="shared" si="1"/>
        <v>0.54861111111111094</v>
      </c>
      <c r="D11" s="14">
        <v>60</v>
      </c>
      <c r="E11" s="15">
        <f t="shared" si="0"/>
        <v>0.59027777777777757</v>
      </c>
      <c r="F11" s="16" t="s">
        <v>81</v>
      </c>
      <c r="G11" s="10" t="s">
        <v>82</v>
      </c>
      <c r="H11" s="9" t="s">
        <v>62</v>
      </c>
      <c r="I11" s="10" t="s">
        <v>83</v>
      </c>
      <c r="J11" s="16" t="s">
        <v>63</v>
      </c>
    </row>
    <row r="12" spans="1:10">
      <c r="A12" s="9" t="s">
        <v>22</v>
      </c>
      <c r="B12" s="12">
        <v>9</v>
      </c>
      <c r="C12" s="15">
        <f t="shared" si="1"/>
        <v>0.59027777777777757</v>
      </c>
      <c r="D12" s="14">
        <v>75</v>
      </c>
      <c r="E12" s="15">
        <f t="shared" si="0"/>
        <v>0.64236111111111094</v>
      </c>
      <c r="F12" s="16" t="s">
        <v>84</v>
      </c>
      <c r="G12" s="10" t="s">
        <v>85</v>
      </c>
      <c r="H12" s="10" t="s">
        <v>86</v>
      </c>
      <c r="I12" s="10" t="s">
        <v>87</v>
      </c>
      <c r="J12" s="16" t="s">
        <v>66</v>
      </c>
    </row>
    <row r="13" spans="1:10">
      <c r="A13" s="9" t="s">
        <v>22</v>
      </c>
      <c r="B13" s="12">
        <v>10</v>
      </c>
      <c r="C13" s="15">
        <f t="shared" si="1"/>
        <v>0.64236111111111094</v>
      </c>
      <c r="D13" s="14">
        <v>30</v>
      </c>
      <c r="E13" s="15">
        <f t="shared" si="0"/>
        <v>0.66319444444444431</v>
      </c>
      <c r="F13" s="16" t="s">
        <v>84</v>
      </c>
      <c r="G13" s="10" t="s">
        <v>88</v>
      </c>
      <c r="H13" s="10" t="s">
        <v>86</v>
      </c>
      <c r="I13" s="10" t="s">
        <v>89</v>
      </c>
      <c r="J13" s="16" t="s">
        <v>66</v>
      </c>
    </row>
    <row r="14" spans="1:10">
      <c r="A14" s="9" t="s">
        <v>22</v>
      </c>
      <c r="B14" s="12">
        <v>11</v>
      </c>
      <c r="C14" s="15">
        <f t="shared" si="1"/>
        <v>0.66319444444444431</v>
      </c>
      <c r="D14" s="14">
        <v>60</v>
      </c>
      <c r="E14" s="15">
        <f t="shared" si="0"/>
        <v>0.70486111111111094</v>
      </c>
      <c r="F14" s="16" t="s">
        <v>90</v>
      </c>
      <c r="G14" s="10" t="s">
        <v>91</v>
      </c>
      <c r="H14" s="10" t="s">
        <v>86</v>
      </c>
      <c r="I14" s="10" t="s">
        <v>92</v>
      </c>
      <c r="J14" s="16" t="s">
        <v>66</v>
      </c>
    </row>
    <row r="15" spans="1:10">
      <c r="A15" s="9" t="s">
        <v>22</v>
      </c>
      <c r="B15" s="12">
        <v>12</v>
      </c>
      <c r="C15" s="15">
        <f t="shared" si="1"/>
        <v>0.70486111111111094</v>
      </c>
      <c r="D15" s="14">
        <v>25</v>
      </c>
      <c r="E15" s="15">
        <f t="shared" si="0"/>
        <v>0.7222222222222221</v>
      </c>
      <c r="F15" s="16" t="s">
        <v>64</v>
      </c>
      <c r="G15" s="10" t="s">
        <v>93</v>
      </c>
      <c r="H15" s="10" t="s">
        <v>79</v>
      </c>
      <c r="I15" s="10" t="s">
        <v>94</v>
      </c>
      <c r="J15" s="16" t="s">
        <v>66</v>
      </c>
    </row>
    <row r="16" spans="1:10">
      <c r="A16" s="9" t="s">
        <v>22</v>
      </c>
      <c r="B16" s="12">
        <v>13</v>
      </c>
      <c r="C16" s="15">
        <f t="shared" si="1"/>
        <v>0.7222222222222221</v>
      </c>
      <c r="D16" s="14">
        <v>50</v>
      </c>
      <c r="E16" s="15">
        <f t="shared" si="0"/>
        <v>0.75694444444444431</v>
      </c>
      <c r="F16" s="16" t="s">
        <v>64</v>
      </c>
      <c r="G16" s="10" t="s">
        <v>95</v>
      </c>
      <c r="H16" s="10" t="s">
        <v>65</v>
      </c>
      <c r="I16" s="10" t="s">
        <v>96</v>
      </c>
      <c r="J16" s="16" t="s">
        <v>66</v>
      </c>
    </row>
    <row r="17" spans="1:10">
      <c r="A17" s="9" t="s">
        <v>22</v>
      </c>
      <c r="B17" s="12">
        <v>14</v>
      </c>
      <c r="C17" s="15">
        <f t="shared" si="1"/>
        <v>0.75694444444444431</v>
      </c>
      <c r="D17" s="14">
        <v>75</v>
      </c>
      <c r="E17" s="15">
        <f t="shared" si="0"/>
        <v>0.80902777777777768</v>
      </c>
      <c r="F17" s="16" t="s">
        <v>81</v>
      </c>
      <c r="G17" s="10" t="s">
        <v>97</v>
      </c>
      <c r="H17" s="9" t="s">
        <v>62</v>
      </c>
      <c r="I17" s="10" t="s">
        <v>83</v>
      </c>
      <c r="J17" s="16" t="s">
        <v>63</v>
      </c>
    </row>
    <row r="18" spans="1:10">
      <c r="A18" s="9" t="s">
        <v>22</v>
      </c>
      <c r="B18" s="12">
        <v>15</v>
      </c>
      <c r="C18" s="15">
        <f t="shared" si="1"/>
        <v>0.80902777777777768</v>
      </c>
      <c r="D18" s="14">
        <v>0</v>
      </c>
      <c r="E18" s="15">
        <f t="shared" si="0"/>
        <v>0.80902777777777768</v>
      </c>
      <c r="F18" s="16" t="s">
        <v>21</v>
      </c>
      <c r="G18" s="10" t="s">
        <v>98</v>
      </c>
      <c r="H18" s="9" t="s">
        <v>62</v>
      </c>
      <c r="I18" s="10" t="s">
        <v>99</v>
      </c>
      <c r="J18" s="16" t="s">
        <v>63</v>
      </c>
    </row>
    <row r="19" spans="1:10">
      <c r="A19" s="17"/>
      <c r="B19" s="17"/>
      <c r="C19" s="18" t="s">
        <v>100</v>
      </c>
      <c r="D19" s="19">
        <f>SUM(D6:D18)</f>
        <v>780</v>
      </c>
      <c r="E19" s="20">
        <f>D19/60</f>
        <v>13</v>
      </c>
      <c r="F19" s="21" t="s">
        <v>101</v>
      </c>
      <c r="G19" s="17"/>
      <c r="H19" s="17"/>
      <c r="I19" s="17"/>
      <c r="J19" s="17"/>
    </row>
    <row r="21" spans="1:10">
      <c r="A21" s="30" t="s">
        <v>102</v>
      </c>
      <c r="B21" s="30"/>
      <c r="C21" s="30"/>
      <c r="D21" s="30"/>
      <c r="E21" s="30"/>
      <c r="F21" s="30"/>
      <c r="G21" s="30"/>
      <c r="H21" s="30"/>
      <c r="I21" s="30"/>
      <c r="J21" s="30"/>
    </row>
    <row r="22" spans="1:10" ht="25">
      <c r="A22" s="9" t="s">
        <v>27</v>
      </c>
      <c r="B22" s="12">
        <v>1</v>
      </c>
      <c r="C22" s="13">
        <v>0.29166666666666702</v>
      </c>
      <c r="D22" s="14">
        <v>60</v>
      </c>
      <c r="E22" s="15">
        <f t="shared" ref="E22:E34" si="2">C22+D22/1440</f>
        <v>0.3333333333333337</v>
      </c>
      <c r="F22" s="16" t="s">
        <v>81</v>
      </c>
      <c r="G22" s="10" t="s">
        <v>103</v>
      </c>
      <c r="H22" s="9" t="s">
        <v>62</v>
      </c>
      <c r="I22" s="10" t="s">
        <v>104</v>
      </c>
      <c r="J22" s="16" t="s">
        <v>66</v>
      </c>
    </row>
    <row r="23" spans="1:10">
      <c r="A23" s="9" t="s">
        <v>27</v>
      </c>
      <c r="B23" s="12">
        <v>2</v>
      </c>
      <c r="C23" s="13">
        <v>0.33333333333333298</v>
      </c>
      <c r="D23" s="14">
        <v>30</v>
      </c>
      <c r="E23" s="15">
        <f t="shared" si="2"/>
        <v>0.3541666666666663</v>
      </c>
      <c r="F23" s="16" t="s">
        <v>64</v>
      </c>
      <c r="G23" s="10" t="s">
        <v>105</v>
      </c>
      <c r="H23" s="10" t="s">
        <v>65</v>
      </c>
      <c r="I23" s="10" t="s">
        <v>106</v>
      </c>
      <c r="J23" s="16" t="s">
        <v>66</v>
      </c>
    </row>
    <row r="24" spans="1:10">
      <c r="A24" s="9" t="s">
        <v>27</v>
      </c>
      <c r="B24" s="12">
        <v>3</v>
      </c>
      <c r="C24" s="15">
        <f t="shared" ref="C24:C34" si="3">E23</f>
        <v>0.3541666666666663</v>
      </c>
      <c r="D24" s="14">
        <v>30</v>
      </c>
      <c r="E24" s="15">
        <f t="shared" si="2"/>
        <v>0.37499999999999961</v>
      </c>
      <c r="F24" s="16" t="s">
        <v>67</v>
      </c>
      <c r="G24" s="10" t="s">
        <v>107</v>
      </c>
      <c r="H24" s="9" t="s">
        <v>62</v>
      </c>
      <c r="I24" s="10" t="s">
        <v>108</v>
      </c>
      <c r="J24" s="16" t="s">
        <v>66</v>
      </c>
    </row>
    <row r="25" spans="1:10">
      <c r="A25" s="9" t="s">
        <v>27</v>
      </c>
      <c r="B25" s="12">
        <v>4</v>
      </c>
      <c r="C25" s="15">
        <f t="shared" si="3"/>
        <v>0.37499999999999961</v>
      </c>
      <c r="D25" s="14">
        <v>45</v>
      </c>
      <c r="E25" s="15">
        <f t="shared" si="2"/>
        <v>0.40624999999999961</v>
      </c>
      <c r="F25" s="16" t="s">
        <v>64</v>
      </c>
      <c r="G25" s="10" t="s">
        <v>109</v>
      </c>
      <c r="H25" s="10" t="s">
        <v>110</v>
      </c>
      <c r="I25" s="10" t="s">
        <v>111</v>
      </c>
      <c r="J25" s="16" t="s">
        <v>63</v>
      </c>
    </row>
    <row r="26" spans="1:10">
      <c r="A26" s="9" t="s">
        <v>27</v>
      </c>
      <c r="B26" s="12">
        <v>5</v>
      </c>
      <c r="C26" s="15">
        <f t="shared" si="3"/>
        <v>0.40624999999999961</v>
      </c>
      <c r="D26" s="14">
        <v>115</v>
      </c>
      <c r="E26" s="15">
        <f t="shared" si="2"/>
        <v>0.48611111111111072</v>
      </c>
      <c r="F26" s="16" t="s">
        <v>64</v>
      </c>
      <c r="G26" s="10" t="s">
        <v>112</v>
      </c>
      <c r="H26" s="10" t="s">
        <v>110</v>
      </c>
      <c r="I26" s="10" t="s">
        <v>113</v>
      </c>
      <c r="J26" s="16" t="s">
        <v>63</v>
      </c>
    </row>
    <row r="27" spans="1:10">
      <c r="A27" s="9" t="s">
        <v>27</v>
      </c>
      <c r="B27" s="12">
        <v>6</v>
      </c>
      <c r="C27" s="15">
        <f t="shared" si="3"/>
        <v>0.48611111111111072</v>
      </c>
      <c r="D27" s="14">
        <v>30</v>
      </c>
      <c r="E27" s="15">
        <f t="shared" si="2"/>
        <v>0.50694444444444409</v>
      </c>
      <c r="F27" s="16" t="s">
        <v>64</v>
      </c>
      <c r="G27" s="10" t="s">
        <v>114</v>
      </c>
      <c r="H27" s="10" t="s">
        <v>65</v>
      </c>
      <c r="I27" s="10" t="s">
        <v>115</v>
      </c>
      <c r="J27" s="16" t="s">
        <v>66</v>
      </c>
    </row>
    <row r="28" spans="1:10">
      <c r="A28" s="9" t="s">
        <v>27</v>
      </c>
      <c r="B28" s="12">
        <v>7</v>
      </c>
      <c r="C28" s="15">
        <f t="shared" si="3"/>
        <v>0.50694444444444409</v>
      </c>
      <c r="D28" s="14">
        <v>60</v>
      </c>
      <c r="E28" s="15">
        <f t="shared" si="2"/>
        <v>0.54861111111111072</v>
      </c>
      <c r="F28" s="16" t="s">
        <v>81</v>
      </c>
      <c r="G28" s="10" t="s">
        <v>116</v>
      </c>
      <c r="H28" s="9" t="s">
        <v>62</v>
      </c>
      <c r="I28" s="10" t="s">
        <v>83</v>
      </c>
      <c r="J28" s="16" t="s">
        <v>63</v>
      </c>
    </row>
    <row r="29" spans="1:10">
      <c r="A29" s="9" t="s">
        <v>27</v>
      </c>
      <c r="B29" s="12">
        <v>8</v>
      </c>
      <c r="C29" s="15">
        <f t="shared" si="3"/>
        <v>0.54861111111111072</v>
      </c>
      <c r="D29" s="14">
        <v>105</v>
      </c>
      <c r="E29" s="15">
        <f t="shared" si="2"/>
        <v>0.62152777777777735</v>
      </c>
      <c r="F29" s="16" t="s">
        <v>84</v>
      </c>
      <c r="G29" s="10" t="s">
        <v>117</v>
      </c>
      <c r="H29" s="10" t="s">
        <v>118</v>
      </c>
      <c r="I29" s="10" t="s">
        <v>119</v>
      </c>
      <c r="J29" s="16" t="s">
        <v>66</v>
      </c>
    </row>
    <row r="30" spans="1:10">
      <c r="A30" s="9" t="s">
        <v>27</v>
      </c>
      <c r="B30" s="12">
        <v>9</v>
      </c>
      <c r="C30" s="15">
        <f t="shared" si="3"/>
        <v>0.62152777777777735</v>
      </c>
      <c r="D30" s="14">
        <v>20</v>
      </c>
      <c r="E30" s="15">
        <f t="shared" si="2"/>
        <v>0.63541666666666619</v>
      </c>
      <c r="F30" s="16" t="s">
        <v>64</v>
      </c>
      <c r="G30" s="10" t="s">
        <v>120</v>
      </c>
      <c r="H30" s="10" t="s">
        <v>65</v>
      </c>
      <c r="I30" s="10" t="s">
        <v>121</v>
      </c>
      <c r="J30" s="16" t="s">
        <v>66</v>
      </c>
    </row>
    <row r="31" spans="1:10">
      <c r="A31" s="9" t="s">
        <v>27</v>
      </c>
      <c r="B31" s="12">
        <v>10</v>
      </c>
      <c r="C31" s="15">
        <f t="shared" si="3"/>
        <v>0.63541666666666619</v>
      </c>
      <c r="D31" s="14">
        <v>90</v>
      </c>
      <c r="E31" s="15">
        <f t="shared" si="2"/>
        <v>0.69791666666666619</v>
      </c>
      <c r="F31" s="16" t="s">
        <v>84</v>
      </c>
      <c r="G31" s="10" t="s">
        <v>122</v>
      </c>
      <c r="H31" s="10" t="s">
        <v>86</v>
      </c>
      <c r="I31" s="10" t="s">
        <v>123</v>
      </c>
      <c r="J31" s="16" t="s">
        <v>66</v>
      </c>
    </row>
    <row r="32" spans="1:10">
      <c r="A32" s="9" t="s">
        <v>27</v>
      </c>
      <c r="B32" s="12">
        <v>11</v>
      </c>
      <c r="C32" s="15">
        <f t="shared" si="3"/>
        <v>0.69791666666666619</v>
      </c>
      <c r="D32" s="14">
        <v>70</v>
      </c>
      <c r="E32" s="15">
        <f t="shared" si="2"/>
        <v>0.74652777777777735</v>
      </c>
      <c r="F32" s="16" t="s">
        <v>64</v>
      </c>
      <c r="G32" s="10" t="s">
        <v>124</v>
      </c>
      <c r="H32" s="10" t="s">
        <v>65</v>
      </c>
      <c r="I32" s="10" t="s">
        <v>125</v>
      </c>
      <c r="J32" s="16" t="s">
        <v>66</v>
      </c>
    </row>
    <row r="33" spans="1:10">
      <c r="A33" s="9" t="s">
        <v>27</v>
      </c>
      <c r="B33" s="12">
        <v>12</v>
      </c>
      <c r="C33" s="15">
        <f t="shared" si="3"/>
        <v>0.74652777777777735</v>
      </c>
      <c r="D33" s="14">
        <v>30</v>
      </c>
      <c r="E33" s="15">
        <f t="shared" si="2"/>
        <v>0.76736111111111072</v>
      </c>
      <c r="F33" s="16" t="s">
        <v>21</v>
      </c>
      <c r="G33" s="10" t="s">
        <v>126</v>
      </c>
      <c r="H33" s="9" t="s">
        <v>62</v>
      </c>
      <c r="I33" s="10" t="s">
        <v>127</v>
      </c>
      <c r="J33" s="16" t="s">
        <v>63</v>
      </c>
    </row>
    <row r="34" spans="1:10">
      <c r="A34" s="9" t="s">
        <v>27</v>
      </c>
      <c r="B34" s="12">
        <v>13</v>
      </c>
      <c r="C34" s="15">
        <f t="shared" si="3"/>
        <v>0.76736111111111072</v>
      </c>
      <c r="D34" s="14">
        <v>90</v>
      </c>
      <c r="E34" s="15">
        <f t="shared" si="2"/>
        <v>0.82986111111111072</v>
      </c>
      <c r="F34" s="16" t="s">
        <v>81</v>
      </c>
      <c r="G34" s="10" t="s">
        <v>128</v>
      </c>
      <c r="H34" s="9" t="s">
        <v>62</v>
      </c>
      <c r="I34" s="10" t="s">
        <v>83</v>
      </c>
      <c r="J34" s="16" t="s">
        <v>63</v>
      </c>
    </row>
    <row r="35" spans="1:10">
      <c r="A35" s="17"/>
      <c r="B35" s="17"/>
      <c r="C35" s="18" t="s">
        <v>100</v>
      </c>
      <c r="D35" s="19">
        <f>SUM(D22:D34)</f>
        <v>775</v>
      </c>
      <c r="E35" s="20">
        <f>D35/60</f>
        <v>12.916666666666666</v>
      </c>
      <c r="F35" s="21" t="s">
        <v>101</v>
      </c>
      <c r="G35" s="17"/>
      <c r="H35" s="17"/>
      <c r="I35" s="17"/>
      <c r="J35" s="17"/>
    </row>
    <row r="37" spans="1:10">
      <c r="A37" s="30" t="s">
        <v>129</v>
      </c>
      <c r="B37" s="30"/>
      <c r="C37" s="30"/>
      <c r="D37" s="30"/>
      <c r="E37" s="30"/>
      <c r="F37" s="30"/>
      <c r="G37" s="30"/>
      <c r="H37" s="30"/>
      <c r="I37" s="30"/>
      <c r="J37" s="30"/>
    </row>
    <row r="38" spans="1:10">
      <c r="A38" s="9" t="s">
        <v>32</v>
      </c>
      <c r="B38" s="12">
        <v>1</v>
      </c>
      <c r="C38" s="13">
        <v>0.29166666666666702</v>
      </c>
      <c r="D38" s="14">
        <v>60</v>
      </c>
      <c r="E38" s="15">
        <f t="shared" ref="E38:E45" si="4">C38+D38/1440</f>
        <v>0.3333333333333337</v>
      </c>
      <c r="F38" s="16" t="s">
        <v>81</v>
      </c>
      <c r="G38" s="10" t="s">
        <v>103</v>
      </c>
      <c r="H38" s="9" t="s">
        <v>62</v>
      </c>
      <c r="I38" s="10" t="s">
        <v>130</v>
      </c>
      <c r="J38" s="16" t="s">
        <v>66</v>
      </c>
    </row>
    <row r="39" spans="1:10">
      <c r="A39" s="9" t="s">
        <v>32</v>
      </c>
      <c r="B39" s="12">
        <v>2</v>
      </c>
      <c r="C39" s="13">
        <v>0.36458333333333298</v>
      </c>
      <c r="D39" s="14">
        <v>30</v>
      </c>
      <c r="E39" s="15">
        <f t="shared" si="4"/>
        <v>0.3854166666666663</v>
      </c>
      <c r="F39" s="16" t="s">
        <v>64</v>
      </c>
      <c r="G39" s="10" t="s">
        <v>131</v>
      </c>
      <c r="H39" s="10" t="s">
        <v>65</v>
      </c>
      <c r="I39" s="10" t="s">
        <v>132</v>
      </c>
      <c r="J39" s="16" t="s">
        <v>66</v>
      </c>
    </row>
    <row r="40" spans="1:10">
      <c r="A40" s="9" t="s">
        <v>32</v>
      </c>
      <c r="B40" s="12">
        <v>3</v>
      </c>
      <c r="C40" s="15">
        <f t="shared" ref="C40:C45" si="5">E39</f>
        <v>0.3854166666666663</v>
      </c>
      <c r="D40" s="14">
        <v>95</v>
      </c>
      <c r="E40" s="15">
        <f t="shared" si="4"/>
        <v>0.45138888888888851</v>
      </c>
      <c r="F40" s="16" t="s">
        <v>84</v>
      </c>
      <c r="G40" s="10" t="s">
        <v>133</v>
      </c>
      <c r="H40" s="10" t="s">
        <v>86</v>
      </c>
      <c r="I40" s="10" t="s">
        <v>134</v>
      </c>
      <c r="J40" s="16" t="s">
        <v>66</v>
      </c>
    </row>
    <row r="41" spans="1:10">
      <c r="A41" s="9" t="s">
        <v>32</v>
      </c>
      <c r="B41" s="12">
        <v>4</v>
      </c>
      <c r="C41" s="15">
        <f t="shared" si="5"/>
        <v>0.45138888888888851</v>
      </c>
      <c r="D41" s="14">
        <v>60</v>
      </c>
      <c r="E41" s="15">
        <f t="shared" si="4"/>
        <v>0.49305555555555519</v>
      </c>
      <c r="F41" s="16" t="s">
        <v>81</v>
      </c>
      <c r="G41" s="10" t="s">
        <v>135</v>
      </c>
      <c r="H41" s="9" t="s">
        <v>62</v>
      </c>
      <c r="I41" s="10" t="s">
        <v>83</v>
      </c>
      <c r="J41" s="16" t="s">
        <v>63</v>
      </c>
    </row>
    <row r="42" spans="1:10">
      <c r="A42" s="9" t="s">
        <v>32</v>
      </c>
      <c r="B42" s="12">
        <v>5</v>
      </c>
      <c r="C42" s="15">
        <f t="shared" si="5"/>
        <v>0.49305555555555519</v>
      </c>
      <c r="D42" s="14">
        <v>150</v>
      </c>
      <c r="E42" s="15">
        <f t="shared" si="4"/>
        <v>0.59722222222222188</v>
      </c>
      <c r="F42" s="16" t="s">
        <v>64</v>
      </c>
      <c r="G42" s="10" t="s">
        <v>34</v>
      </c>
      <c r="H42" s="10" t="s">
        <v>65</v>
      </c>
      <c r="I42" s="10" t="s">
        <v>136</v>
      </c>
      <c r="J42" s="16" t="s">
        <v>66</v>
      </c>
    </row>
    <row r="43" spans="1:10" ht="25">
      <c r="A43" s="9" t="s">
        <v>32</v>
      </c>
      <c r="B43" s="12">
        <v>6</v>
      </c>
      <c r="C43" s="15">
        <f t="shared" si="5"/>
        <v>0.59722222222222188</v>
      </c>
      <c r="D43" s="14">
        <v>30</v>
      </c>
      <c r="E43" s="15">
        <f t="shared" si="4"/>
        <v>0.61805555555555525</v>
      </c>
      <c r="F43" s="16" t="s">
        <v>21</v>
      </c>
      <c r="G43" s="9" t="s">
        <v>137</v>
      </c>
      <c r="H43" s="9" t="s">
        <v>62</v>
      </c>
      <c r="I43" s="10" t="s">
        <v>138</v>
      </c>
      <c r="J43" s="16" t="s">
        <v>63</v>
      </c>
    </row>
    <row r="44" spans="1:10" ht="25">
      <c r="A44" s="9" t="s">
        <v>32</v>
      </c>
      <c r="B44" s="12">
        <v>7</v>
      </c>
      <c r="C44" s="15">
        <f t="shared" si="5"/>
        <v>0.61805555555555525</v>
      </c>
      <c r="D44" s="14">
        <v>180</v>
      </c>
      <c r="E44" s="15">
        <f t="shared" si="4"/>
        <v>0.74305555555555525</v>
      </c>
      <c r="F44" s="16" t="s">
        <v>90</v>
      </c>
      <c r="G44" s="10" t="s">
        <v>139</v>
      </c>
      <c r="H44" s="10" t="s">
        <v>86</v>
      </c>
      <c r="I44" s="10" t="s">
        <v>140</v>
      </c>
      <c r="J44" s="16" t="s">
        <v>66</v>
      </c>
    </row>
    <row r="45" spans="1:10">
      <c r="A45" s="9" t="s">
        <v>32</v>
      </c>
      <c r="B45" s="12">
        <v>8</v>
      </c>
      <c r="C45" s="15">
        <f t="shared" si="5"/>
        <v>0.74305555555555525</v>
      </c>
      <c r="D45" s="14">
        <v>0</v>
      </c>
      <c r="E45" s="15">
        <f t="shared" si="4"/>
        <v>0.74305555555555525</v>
      </c>
      <c r="F45" s="16" t="s">
        <v>81</v>
      </c>
      <c r="G45" s="10" t="s">
        <v>141</v>
      </c>
      <c r="H45" s="9" t="s">
        <v>62</v>
      </c>
      <c r="I45" s="10" t="s">
        <v>142</v>
      </c>
      <c r="J45" s="16" t="s">
        <v>63</v>
      </c>
    </row>
    <row r="46" spans="1:10">
      <c r="A46" s="17"/>
      <c r="B46" s="17"/>
      <c r="C46" s="18" t="s">
        <v>100</v>
      </c>
      <c r="D46" s="19">
        <f>SUM(D38:D45)</f>
        <v>605</v>
      </c>
      <c r="E46" s="20">
        <f>D46/60</f>
        <v>10.083333333333334</v>
      </c>
      <c r="F46" s="21" t="s">
        <v>101</v>
      </c>
      <c r="G46" s="17"/>
      <c r="H46" s="17"/>
      <c r="I46" s="17"/>
      <c r="J46" s="17"/>
    </row>
    <row r="48" spans="1:10">
      <c r="A48" s="30" t="s">
        <v>143</v>
      </c>
      <c r="B48" s="30"/>
      <c r="C48" s="30"/>
      <c r="D48" s="30"/>
      <c r="E48" s="30"/>
      <c r="F48" s="30"/>
      <c r="G48" s="30"/>
      <c r="H48" s="30"/>
      <c r="I48" s="30"/>
      <c r="J48" s="30"/>
    </row>
    <row r="49" spans="1:10">
      <c r="A49" s="9" t="s">
        <v>37</v>
      </c>
      <c r="B49" s="12">
        <v>1</v>
      </c>
      <c r="C49" s="13">
        <v>0.29166666666666702</v>
      </c>
      <c r="D49" s="14">
        <v>60</v>
      </c>
      <c r="E49" s="15">
        <f t="shared" ref="E49:E58" si="6">C49+D49/1440</f>
        <v>0.3333333333333337</v>
      </c>
      <c r="F49" s="16" t="s">
        <v>81</v>
      </c>
      <c r="G49" s="10" t="s">
        <v>103</v>
      </c>
      <c r="H49" s="9" t="s">
        <v>62</v>
      </c>
      <c r="I49" s="10" t="s">
        <v>144</v>
      </c>
      <c r="J49" s="16" t="s">
        <v>66</v>
      </c>
    </row>
    <row r="50" spans="1:10">
      <c r="A50" s="9" t="s">
        <v>37</v>
      </c>
      <c r="B50" s="12">
        <v>2</v>
      </c>
      <c r="C50" s="13">
        <v>0.35416666666666702</v>
      </c>
      <c r="D50" s="14">
        <v>45</v>
      </c>
      <c r="E50" s="15">
        <f t="shared" si="6"/>
        <v>0.38541666666666702</v>
      </c>
      <c r="F50" s="16" t="s">
        <v>64</v>
      </c>
      <c r="G50" s="28" t="s">
        <v>318</v>
      </c>
      <c r="H50" s="10" t="s">
        <v>65</v>
      </c>
      <c r="I50" s="10" t="s">
        <v>145</v>
      </c>
      <c r="J50" s="16" t="s">
        <v>66</v>
      </c>
    </row>
    <row r="51" spans="1:10">
      <c r="A51" s="9" t="s">
        <v>37</v>
      </c>
      <c r="B51" s="12">
        <v>3</v>
      </c>
      <c r="C51" s="15">
        <f t="shared" ref="C51:C57" si="7">E50</f>
        <v>0.38541666666666702</v>
      </c>
      <c r="D51" s="14">
        <v>90</v>
      </c>
      <c r="E51" s="15">
        <f t="shared" si="6"/>
        <v>0.44791666666666702</v>
      </c>
      <c r="F51" s="16" t="s">
        <v>84</v>
      </c>
      <c r="G51" s="10" t="s">
        <v>146</v>
      </c>
      <c r="H51" s="10" t="s">
        <v>147</v>
      </c>
      <c r="I51" s="9" t="s">
        <v>148</v>
      </c>
      <c r="J51" s="16" t="s">
        <v>66</v>
      </c>
    </row>
    <row r="52" spans="1:10">
      <c r="A52" s="9" t="s">
        <v>37</v>
      </c>
      <c r="B52" s="12">
        <v>4</v>
      </c>
      <c r="C52" s="15">
        <f t="shared" si="7"/>
        <v>0.44791666666666702</v>
      </c>
      <c r="D52" s="14">
        <v>45</v>
      </c>
      <c r="E52" s="15">
        <f t="shared" si="6"/>
        <v>0.47916666666666702</v>
      </c>
      <c r="F52" s="16" t="s">
        <v>64</v>
      </c>
      <c r="G52" s="10" t="s">
        <v>149</v>
      </c>
      <c r="H52" s="10" t="s">
        <v>65</v>
      </c>
      <c r="I52" s="10" t="s">
        <v>150</v>
      </c>
      <c r="J52" s="16" t="s">
        <v>66</v>
      </c>
    </row>
    <row r="53" spans="1:10">
      <c r="A53" s="9" t="s">
        <v>37</v>
      </c>
      <c r="B53" s="12">
        <v>5</v>
      </c>
      <c r="C53" s="15">
        <f t="shared" si="7"/>
        <v>0.47916666666666702</v>
      </c>
      <c r="D53" s="14">
        <v>60</v>
      </c>
      <c r="E53" s="15">
        <f t="shared" si="6"/>
        <v>0.5208333333333337</v>
      </c>
      <c r="F53" s="16" t="s">
        <v>81</v>
      </c>
      <c r="G53" s="10" t="s">
        <v>151</v>
      </c>
      <c r="H53" s="9" t="s">
        <v>62</v>
      </c>
      <c r="I53" s="10" t="s">
        <v>152</v>
      </c>
      <c r="J53" s="16" t="s">
        <v>63</v>
      </c>
    </row>
    <row r="54" spans="1:10" ht="25">
      <c r="A54" s="9" t="s">
        <v>37</v>
      </c>
      <c r="B54" s="12">
        <v>6</v>
      </c>
      <c r="C54" s="15">
        <f t="shared" si="7"/>
        <v>0.5208333333333337</v>
      </c>
      <c r="D54" s="14">
        <v>210</v>
      </c>
      <c r="E54" s="15">
        <f t="shared" si="6"/>
        <v>0.66666666666666707</v>
      </c>
      <c r="F54" s="16" t="s">
        <v>84</v>
      </c>
      <c r="G54" s="28" t="s">
        <v>319</v>
      </c>
      <c r="H54" s="10" t="s">
        <v>86</v>
      </c>
      <c r="I54" s="10" t="s">
        <v>153</v>
      </c>
      <c r="J54" s="16" t="s">
        <v>66</v>
      </c>
    </row>
    <row r="55" spans="1:10">
      <c r="A55" s="9" t="s">
        <v>37</v>
      </c>
      <c r="B55" s="12">
        <v>7</v>
      </c>
      <c r="C55" s="15">
        <f t="shared" si="7"/>
        <v>0.66666666666666707</v>
      </c>
      <c r="D55" s="14">
        <v>15</v>
      </c>
      <c r="E55" s="15">
        <f t="shared" si="6"/>
        <v>0.6770833333333337</v>
      </c>
      <c r="F55" s="16" t="s">
        <v>64</v>
      </c>
      <c r="G55" s="10" t="s">
        <v>154</v>
      </c>
      <c r="H55" s="10" t="s">
        <v>155</v>
      </c>
      <c r="I55" s="10" t="s">
        <v>156</v>
      </c>
      <c r="J55" s="16" t="s">
        <v>66</v>
      </c>
    </row>
    <row r="56" spans="1:10">
      <c r="A56" s="9" t="s">
        <v>37</v>
      </c>
      <c r="B56" s="12">
        <v>8</v>
      </c>
      <c r="C56" s="15">
        <f t="shared" si="7"/>
        <v>0.6770833333333337</v>
      </c>
      <c r="D56" s="14">
        <v>30</v>
      </c>
      <c r="E56" s="15">
        <f t="shared" si="6"/>
        <v>0.69791666666666707</v>
      </c>
      <c r="F56" s="16" t="s">
        <v>21</v>
      </c>
      <c r="G56" s="10" t="s">
        <v>157</v>
      </c>
      <c r="H56" s="9" t="s">
        <v>62</v>
      </c>
      <c r="I56" s="10" t="s">
        <v>158</v>
      </c>
      <c r="J56" s="16" t="s">
        <v>63</v>
      </c>
    </row>
    <row r="57" spans="1:10">
      <c r="A57" s="9" t="s">
        <v>37</v>
      </c>
      <c r="B57" s="12">
        <v>9</v>
      </c>
      <c r="C57" s="15">
        <f t="shared" si="7"/>
        <v>0.69791666666666707</v>
      </c>
      <c r="D57" s="14">
        <v>75</v>
      </c>
      <c r="E57" s="15">
        <f t="shared" si="6"/>
        <v>0.75000000000000044</v>
      </c>
      <c r="F57" s="16" t="s">
        <v>90</v>
      </c>
      <c r="G57" s="10" t="s">
        <v>159</v>
      </c>
      <c r="H57" s="9" t="s">
        <v>62</v>
      </c>
      <c r="I57" s="10" t="s">
        <v>160</v>
      </c>
      <c r="J57" s="16" t="s">
        <v>66</v>
      </c>
    </row>
    <row r="58" spans="1:10">
      <c r="A58" s="9" t="s">
        <v>37</v>
      </c>
      <c r="B58" s="12">
        <v>10</v>
      </c>
      <c r="C58" s="13">
        <v>0.75</v>
      </c>
      <c r="D58" s="14">
        <v>120</v>
      </c>
      <c r="E58" s="15">
        <f t="shared" si="6"/>
        <v>0.83333333333333337</v>
      </c>
      <c r="F58" s="16" t="s">
        <v>81</v>
      </c>
      <c r="G58" s="10" t="s">
        <v>161</v>
      </c>
      <c r="H58" s="9" t="s">
        <v>62</v>
      </c>
      <c r="I58" s="10" t="s">
        <v>83</v>
      </c>
      <c r="J58" s="16" t="s">
        <v>63</v>
      </c>
    </row>
    <row r="59" spans="1:10">
      <c r="A59" s="17"/>
      <c r="B59" s="17"/>
      <c r="C59" s="18" t="s">
        <v>100</v>
      </c>
      <c r="D59" s="19">
        <f>SUM(D49:D58)</f>
        <v>750</v>
      </c>
      <c r="E59" s="20">
        <f>D59/60</f>
        <v>12.5</v>
      </c>
      <c r="F59" s="21" t="s">
        <v>101</v>
      </c>
      <c r="G59" s="17"/>
      <c r="H59" s="17"/>
      <c r="I59" s="17"/>
      <c r="J59" s="17"/>
    </row>
    <row r="61" spans="1:10">
      <c r="A61" s="30" t="s">
        <v>162</v>
      </c>
      <c r="B61" s="30"/>
      <c r="C61" s="30"/>
      <c r="D61" s="30"/>
      <c r="E61" s="30"/>
      <c r="F61" s="30"/>
      <c r="G61" s="30"/>
      <c r="H61" s="30"/>
      <c r="I61" s="30"/>
      <c r="J61" s="30"/>
    </row>
    <row r="62" spans="1:10">
      <c r="A62" s="9" t="s">
        <v>42</v>
      </c>
      <c r="B62" s="12">
        <v>1</v>
      </c>
      <c r="C62" s="13">
        <v>0.29166666666666702</v>
      </c>
      <c r="D62" s="14">
        <v>60</v>
      </c>
      <c r="E62" s="15">
        <f t="shared" ref="E62:E70" si="8">C62+D62/1440</f>
        <v>0.3333333333333337</v>
      </c>
      <c r="F62" s="16" t="s">
        <v>81</v>
      </c>
      <c r="G62" s="10" t="s">
        <v>103</v>
      </c>
      <c r="H62" s="9" t="s">
        <v>62</v>
      </c>
      <c r="I62" s="10" t="s">
        <v>163</v>
      </c>
      <c r="J62" s="16" t="s">
        <v>66</v>
      </c>
    </row>
    <row r="63" spans="1:10">
      <c r="A63" s="9" t="s">
        <v>42</v>
      </c>
      <c r="B63" s="12">
        <v>2</v>
      </c>
      <c r="C63" s="13">
        <v>0.35416666666666702</v>
      </c>
      <c r="D63" s="14">
        <v>20</v>
      </c>
      <c r="E63" s="15">
        <f t="shared" si="8"/>
        <v>0.36805555555555591</v>
      </c>
      <c r="F63" s="16" t="s">
        <v>64</v>
      </c>
      <c r="G63" s="10" t="s">
        <v>164</v>
      </c>
      <c r="H63" s="10" t="s">
        <v>65</v>
      </c>
      <c r="I63" s="10" t="s">
        <v>165</v>
      </c>
      <c r="J63" s="16" t="s">
        <v>66</v>
      </c>
    </row>
    <row r="64" spans="1:10" ht="25">
      <c r="A64" s="9" t="s">
        <v>42</v>
      </c>
      <c r="B64" s="12">
        <v>3</v>
      </c>
      <c r="C64" s="15">
        <f t="shared" ref="C64:C70" si="9">E63</f>
        <v>0.36805555555555591</v>
      </c>
      <c r="D64" s="14">
        <v>70</v>
      </c>
      <c r="E64" s="15">
        <f t="shared" si="8"/>
        <v>0.41666666666666702</v>
      </c>
      <c r="F64" s="16" t="s">
        <v>84</v>
      </c>
      <c r="G64" s="10" t="s">
        <v>166</v>
      </c>
      <c r="H64" s="10" t="s">
        <v>86</v>
      </c>
      <c r="I64" s="10" t="s">
        <v>167</v>
      </c>
      <c r="J64" s="16" t="s">
        <v>66</v>
      </c>
    </row>
    <row r="65" spans="1:10">
      <c r="A65" s="9" t="s">
        <v>42</v>
      </c>
      <c r="B65" s="12">
        <v>4</v>
      </c>
      <c r="C65" s="15">
        <f t="shared" si="9"/>
        <v>0.41666666666666702</v>
      </c>
      <c r="D65" s="14">
        <v>55</v>
      </c>
      <c r="E65" s="15">
        <f t="shared" si="8"/>
        <v>0.45486111111111149</v>
      </c>
      <c r="F65" s="16" t="s">
        <v>64</v>
      </c>
      <c r="G65" s="10" t="s">
        <v>168</v>
      </c>
      <c r="H65" s="10" t="s">
        <v>65</v>
      </c>
      <c r="I65" s="10" t="s">
        <v>169</v>
      </c>
      <c r="J65" s="16" t="s">
        <v>66</v>
      </c>
    </row>
    <row r="66" spans="1:10">
      <c r="A66" s="9" t="s">
        <v>42</v>
      </c>
      <c r="B66" s="12">
        <v>5</v>
      </c>
      <c r="C66" s="15">
        <f t="shared" si="9"/>
        <v>0.45486111111111149</v>
      </c>
      <c r="D66" s="14">
        <v>180</v>
      </c>
      <c r="E66" s="15">
        <f t="shared" si="8"/>
        <v>0.57986111111111149</v>
      </c>
      <c r="F66" s="16" t="s">
        <v>90</v>
      </c>
      <c r="G66" s="10" t="s">
        <v>170</v>
      </c>
      <c r="H66" s="10" t="s">
        <v>86</v>
      </c>
      <c r="I66" s="10" t="s">
        <v>171</v>
      </c>
      <c r="J66" s="16" t="s">
        <v>63</v>
      </c>
    </row>
    <row r="67" spans="1:10">
      <c r="A67" s="9" t="s">
        <v>42</v>
      </c>
      <c r="B67" s="12">
        <v>6</v>
      </c>
      <c r="C67" s="15">
        <f t="shared" si="9"/>
        <v>0.57986111111111149</v>
      </c>
      <c r="D67" s="14">
        <v>15</v>
      </c>
      <c r="E67" s="15">
        <f t="shared" si="8"/>
        <v>0.59027777777777812</v>
      </c>
      <c r="F67" s="16" t="s">
        <v>64</v>
      </c>
      <c r="G67" s="10" t="s">
        <v>172</v>
      </c>
      <c r="H67" s="10" t="s">
        <v>65</v>
      </c>
      <c r="I67" s="10" t="s">
        <v>173</v>
      </c>
      <c r="J67" s="16" t="s">
        <v>66</v>
      </c>
    </row>
    <row r="68" spans="1:10" ht="25">
      <c r="A68" s="9" t="s">
        <v>42</v>
      </c>
      <c r="B68" s="12">
        <v>7</v>
      </c>
      <c r="C68" s="15">
        <f t="shared" si="9"/>
        <v>0.59027777777777812</v>
      </c>
      <c r="D68" s="14">
        <v>100</v>
      </c>
      <c r="E68" s="15">
        <f t="shared" si="8"/>
        <v>0.65972222222222254</v>
      </c>
      <c r="F68" s="16" t="s">
        <v>84</v>
      </c>
      <c r="G68" s="10" t="s">
        <v>174</v>
      </c>
      <c r="H68" s="10" t="s">
        <v>86</v>
      </c>
      <c r="I68" s="10" t="s">
        <v>175</v>
      </c>
      <c r="J68" s="16" t="s">
        <v>66</v>
      </c>
    </row>
    <row r="69" spans="1:10">
      <c r="A69" s="9" t="s">
        <v>42</v>
      </c>
      <c r="B69" s="12">
        <v>8</v>
      </c>
      <c r="C69" s="15">
        <f t="shared" si="9"/>
        <v>0.65972222222222254</v>
      </c>
      <c r="D69" s="14">
        <v>30</v>
      </c>
      <c r="E69" s="15">
        <f t="shared" si="8"/>
        <v>0.68055555555555591</v>
      </c>
      <c r="F69" s="16" t="s">
        <v>64</v>
      </c>
      <c r="G69" s="10" t="s">
        <v>176</v>
      </c>
      <c r="H69" s="10" t="s">
        <v>65</v>
      </c>
      <c r="I69" s="10" t="s">
        <v>177</v>
      </c>
      <c r="J69" s="16" t="s">
        <v>66</v>
      </c>
    </row>
    <row r="70" spans="1:10" ht="25">
      <c r="A70" s="9" t="s">
        <v>42</v>
      </c>
      <c r="B70" s="12">
        <v>9</v>
      </c>
      <c r="C70" s="15">
        <f t="shared" si="9"/>
        <v>0.68055555555555591</v>
      </c>
      <c r="D70" s="14">
        <v>165</v>
      </c>
      <c r="E70" s="15">
        <f t="shared" si="8"/>
        <v>0.79513888888888928</v>
      </c>
      <c r="F70" s="16" t="s">
        <v>67</v>
      </c>
      <c r="G70" s="10" t="s">
        <v>178</v>
      </c>
      <c r="H70" s="9" t="s">
        <v>62</v>
      </c>
      <c r="I70" s="10" t="s">
        <v>179</v>
      </c>
      <c r="J70" s="16" t="s">
        <v>66</v>
      </c>
    </row>
    <row r="71" spans="1:10" ht="25">
      <c r="A71" s="9" t="s">
        <v>42</v>
      </c>
      <c r="B71" s="12">
        <v>10</v>
      </c>
      <c r="C71" s="13">
        <v>0.79513888888888895</v>
      </c>
      <c r="D71" s="14">
        <v>160</v>
      </c>
      <c r="E71" s="13">
        <v>0.87152777777777801</v>
      </c>
      <c r="F71" s="16" t="s">
        <v>70</v>
      </c>
      <c r="G71" s="9" t="s">
        <v>180</v>
      </c>
      <c r="H71" s="10" t="s">
        <v>72</v>
      </c>
      <c r="I71" s="10" t="s">
        <v>181</v>
      </c>
      <c r="J71" s="16" t="s">
        <v>63</v>
      </c>
    </row>
    <row r="72" spans="1:10">
      <c r="A72" s="9" t="s">
        <v>42</v>
      </c>
      <c r="B72" s="12">
        <v>11</v>
      </c>
      <c r="C72" s="13">
        <v>0.87152777777777801</v>
      </c>
      <c r="D72" s="14">
        <v>0</v>
      </c>
      <c r="E72" s="15">
        <f>C72+D72/1440</f>
        <v>0.87152777777777801</v>
      </c>
      <c r="F72" s="16" t="s">
        <v>61</v>
      </c>
      <c r="G72" s="10" t="s">
        <v>182</v>
      </c>
      <c r="H72" s="9" t="s">
        <v>62</v>
      </c>
      <c r="I72" s="10" t="s">
        <v>183</v>
      </c>
      <c r="J72" s="16" t="s">
        <v>63</v>
      </c>
    </row>
    <row r="73" spans="1:10">
      <c r="A73" s="17"/>
      <c r="B73" s="17"/>
      <c r="C73" s="18" t="s">
        <v>100</v>
      </c>
      <c r="D73" s="19">
        <f>SUM(D62:D72)</f>
        <v>855</v>
      </c>
      <c r="E73" s="20">
        <f>D73/60</f>
        <v>14.25</v>
      </c>
      <c r="F73" s="21" t="s">
        <v>101</v>
      </c>
      <c r="G73" s="17"/>
      <c r="H73" s="17"/>
      <c r="I73" s="17"/>
      <c r="J73" s="17"/>
    </row>
  </sheetData>
  <mergeCells count="5">
    <mergeCell ref="A5:J5"/>
    <mergeCell ref="A21:J21"/>
    <mergeCell ref="A37:J37"/>
    <mergeCell ref="A48:J48"/>
    <mergeCell ref="A61:J61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zoomScaleNormal="100" workbookViewId="0">
      <selection activeCell="A5" sqref="A5:XFD5"/>
    </sheetView>
  </sheetViews>
  <sheetFormatPr defaultColWidth="8.6328125" defaultRowHeight="14.5"/>
  <cols>
    <col min="1" max="1" width="9" customWidth="1"/>
    <col min="2" max="3" width="26" customWidth="1"/>
    <col min="4" max="4" width="16" customWidth="1"/>
    <col min="5" max="5" width="11" customWidth="1"/>
    <col min="6" max="6" width="15" customWidth="1"/>
    <col min="7" max="7" width="16" customWidth="1"/>
    <col min="8" max="8" width="32" customWidth="1"/>
  </cols>
  <sheetData>
    <row r="1" spans="1:8" ht="18">
      <c r="A1" s="1" t="s">
        <v>184</v>
      </c>
    </row>
    <row r="2" spans="1:8">
      <c r="A2" s="11" t="s">
        <v>185</v>
      </c>
    </row>
    <row r="4" spans="1:8">
      <c r="A4" s="7" t="s">
        <v>17</v>
      </c>
      <c r="B4" s="8" t="s">
        <v>186</v>
      </c>
      <c r="C4" s="8" t="s">
        <v>187</v>
      </c>
      <c r="D4" s="8" t="s">
        <v>188</v>
      </c>
      <c r="E4" s="8" t="s">
        <v>189</v>
      </c>
      <c r="F4" s="8" t="s">
        <v>190</v>
      </c>
      <c r="G4" s="8" t="s">
        <v>191</v>
      </c>
      <c r="H4" s="8" t="s">
        <v>192</v>
      </c>
    </row>
    <row r="5" spans="1:8">
      <c r="A5" s="12" t="s">
        <v>22</v>
      </c>
      <c r="B5" s="10" t="s">
        <v>193</v>
      </c>
      <c r="C5" s="10" t="s">
        <v>194</v>
      </c>
      <c r="D5" s="16" t="s">
        <v>195</v>
      </c>
      <c r="E5" s="12" t="s">
        <v>62</v>
      </c>
      <c r="F5" s="14">
        <v>145</v>
      </c>
      <c r="G5" s="22">
        <f t="shared" ref="G5:G25" si="0">F5/1440</f>
        <v>0.10069444444444445</v>
      </c>
      <c r="H5" s="10" t="s">
        <v>196</v>
      </c>
    </row>
    <row r="6" spans="1:8">
      <c r="A6" s="12" t="s">
        <v>22</v>
      </c>
      <c r="B6" s="10" t="s">
        <v>197</v>
      </c>
      <c r="C6" s="10" t="s">
        <v>198</v>
      </c>
      <c r="D6" s="16" t="s">
        <v>65</v>
      </c>
      <c r="E6" s="12" t="s">
        <v>199</v>
      </c>
      <c r="F6" s="14">
        <v>85</v>
      </c>
      <c r="G6" s="22">
        <f t="shared" si="0"/>
        <v>5.9027777777777776E-2</v>
      </c>
      <c r="H6" s="10" t="s">
        <v>200</v>
      </c>
    </row>
    <row r="7" spans="1:8">
      <c r="A7" s="12" t="s">
        <v>22</v>
      </c>
      <c r="B7" s="10" t="s">
        <v>198</v>
      </c>
      <c r="C7" s="10" t="s">
        <v>201</v>
      </c>
      <c r="D7" s="16" t="s">
        <v>79</v>
      </c>
      <c r="E7" s="12" t="s">
        <v>202</v>
      </c>
      <c r="F7" s="14">
        <v>25</v>
      </c>
      <c r="G7" s="22">
        <f t="shared" si="0"/>
        <v>1.7361111111111112E-2</v>
      </c>
      <c r="H7" s="10" t="s">
        <v>203</v>
      </c>
    </row>
    <row r="8" spans="1:8">
      <c r="A8" s="12" t="s">
        <v>22</v>
      </c>
      <c r="B8" s="10" t="s">
        <v>198</v>
      </c>
      <c r="C8" s="10" t="s">
        <v>204</v>
      </c>
      <c r="D8" s="16" t="s">
        <v>65</v>
      </c>
      <c r="E8" s="12" t="s">
        <v>205</v>
      </c>
      <c r="F8" s="14">
        <v>50</v>
      </c>
      <c r="G8" s="22">
        <f t="shared" si="0"/>
        <v>3.4722222222222224E-2</v>
      </c>
      <c r="H8" s="10" t="s">
        <v>206</v>
      </c>
    </row>
    <row r="9" spans="1:8">
      <c r="A9" s="12" t="s">
        <v>27</v>
      </c>
      <c r="B9" s="10" t="s">
        <v>207</v>
      </c>
      <c r="C9" s="10" t="s">
        <v>208</v>
      </c>
      <c r="D9" s="16" t="s">
        <v>65</v>
      </c>
      <c r="E9" s="12" t="s">
        <v>209</v>
      </c>
      <c r="F9" s="14">
        <v>30</v>
      </c>
      <c r="G9" s="22">
        <f t="shared" si="0"/>
        <v>2.0833333333333332E-2</v>
      </c>
      <c r="H9" s="10" t="s">
        <v>210</v>
      </c>
    </row>
    <row r="10" spans="1:8">
      <c r="A10" s="12" t="s">
        <v>27</v>
      </c>
      <c r="B10" s="10" t="s">
        <v>211</v>
      </c>
      <c r="C10" s="10" t="s">
        <v>212</v>
      </c>
      <c r="D10" s="16" t="s">
        <v>110</v>
      </c>
      <c r="E10" s="12" t="s">
        <v>62</v>
      </c>
      <c r="F10" s="14">
        <v>45</v>
      </c>
      <c r="G10" s="22">
        <f t="shared" si="0"/>
        <v>3.125E-2</v>
      </c>
      <c r="H10" s="10" t="s">
        <v>213</v>
      </c>
    </row>
    <row r="11" spans="1:8">
      <c r="A11" s="12" t="s">
        <v>27</v>
      </c>
      <c r="B11" s="10" t="s">
        <v>212</v>
      </c>
      <c r="C11" s="10" t="s">
        <v>214</v>
      </c>
      <c r="D11" s="16" t="s">
        <v>110</v>
      </c>
      <c r="E11" s="12" t="s">
        <v>62</v>
      </c>
      <c r="F11" s="14">
        <v>115</v>
      </c>
      <c r="G11" s="22">
        <f t="shared" si="0"/>
        <v>7.9861111111111105E-2</v>
      </c>
      <c r="H11" s="10" t="s">
        <v>215</v>
      </c>
    </row>
    <row r="12" spans="1:8">
      <c r="A12" s="12" t="s">
        <v>27</v>
      </c>
      <c r="B12" s="10" t="s">
        <v>214</v>
      </c>
      <c r="C12" s="10" t="s">
        <v>216</v>
      </c>
      <c r="D12" s="16" t="s">
        <v>65</v>
      </c>
      <c r="E12" s="12" t="s">
        <v>217</v>
      </c>
      <c r="F12" s="14">
        <v>30</v>
      </c>
      <c r="G12" s="22">
        <f t="shared" si="0"/>
        <v>2.0833333333333332E-2</v>
      </c>
      <c r="H12" s="10" t="s">
        <v>210</v>
      </c>
    </row>
    <row r="13" spans="1:8">
      <c r="A13" s="12" t="s">
        <v>27</v>
      </c>
      <c r="B13" s="10" t="s">
        <v>218</v>
      </c>
      <c r="C13" s="10" t="s">
        <v>219</v>
      </c>
      <c r="D13" s="16" t="s">
        <v>65</v>
      </c>
      <c r="E13" s="12" t="s">
        <v>220</v>
      </c>
      <c r="F13" s="14">
        <v>20</v>
      </c>
      <c r="G13" s="22">
        <f t="shared" si="0"/>
        <v>1.3888888888888888E-2</v>
      </c>
      <c r="H13" s="10" t="s">
        <v>210</v>
      </c>
    </row>
    <row r="14" spans="1:8">
      <c r="A14" s="12" t="s">
        <v>27</v>
      </c>
      <c r="B14" s="10" t="s">
        <v>219</v>
      </c>
      <c r="C14" s="10" t="s">
        <v>221</v>
      </c>
      <c r="D14" s="16" t="s">
        <v>65</v>
      </c>
      <c r="E14" s="12" t="s">
        <v>222</v>
      </c>
      <c r="F14" s="14">
        <v>70</v>
      </c>
      <c r="G14" s="22">
        <f t="shared" si="0"/>
        <v>4.8611111111111112E-2</v>
      </c>
      <c r="H14" s="10" t="s">
        <v>223</v>
      </c>
    </row>
    <row r="15" spans="1:8">
      <c r="A15" s="12" t="s">
        <v>32</v>
      </c>
      <c r="B15" s="10" t="s">
        <v>31</v>
      </c>
      <c r="C15" s="10" t="s">
        <v>133</v>
      </c>
      <c r="D15" s="16" t="s">
        <v>65</v>
      </c>
      <c r="E15" s="12" t="s">
        <v>224</v>
      </c>
      <c r="F15" s="14">
        <v>30</v>
      </c>
      <c r="G15" s="22">
        <f t="shared" si="0"/>
        <v>2.0833333333333332E-2</v>
      </c>
      <c r="H15" s="10" t="s">
        <v>225</v>
      </c>
    </row>
    <row r="16" spans="1:8">
      <c r="A16" s="12" t="s">
        <v>32</v>
      </c>
      <c r="B16" s="10" t="s">
        <v>221</v>
      </c>
      <c r="C16" s="10" t="s">
        <v>226</v>
      </c>
      <c r="D16" s="16" t="s">
        <v>65</v>
      </c>
      <c r="E16" s="12" t="s">
        <v>227</v>
      </c>
      <c r="F16" s="14">
        <v>150</v>
      </c>
      <c r="G16" s="22">
        <f t="shared" si="0"/>
        <v>0.10416666666666667</v>
      </c>
      <c r="H16" s="10" t="s">
        <v>228</v>
      </c>
    </row>
    <row r="17" spans="1:8">
      <c r="A17" s="12" t="s">
        <v>37</v>
      </c>
      <c r="B17" s="10" t="s">
        <v>226</v>
      </c>
      <c r="C17" s="10" t="s">
        <v>229</v>
      </c>
      <c r="D17" s="16" t="s">
        <v>65</v>
      </c>
      <c r="E17" s="12" t="s">
        <v>230</v>
      </c>
      <c r="F17" s="14">
        <v>45</v>
      </c>
      <c r="G17" s="22">
        <f t="shared" si="0"/>
        <v>3.125E-2</v>
      </c>
      <c r="H17" s="10" t="s">
        <v>231</v>
      </c>
    </row>
    <row r="18" spans="1:8">
      <c r="A18" s="12" t="s">
        <v>37</v>
      </c>
      <c r="B18" s="10" t="s">
        <v>232</v>
      </c>
      <c r="C18" s="10" t="s">
        <v>233</v>
      </c>
      <c r="D18" s="16" t="s">
        <v>65</v>
      </c>
      <c r="E18" s="12" t="s">
        <v>205</v>
      </c>
      <c r="F18" s="14">
        <v>45</v>
      </c>
      <c r="G18" s="22">
        <f t="shared" si="0"/>
        <v>3.125E-2</v>
      </c>
      <c r="H18" s="10" t="s">
        <v>234</v>
      </c>
    </row>
    <row r="19" spans="1:8">
      <c r="A19" s="12" t="s">
        <v>37</v>
      </c>
      <c r="B19" s="10" t="s">
        <v>235</v>
      </c>
      <c r="C19" s="10" t="s">
        <v>236</v>
      </c>
      <c r="D19" s="16" t="s">
        <v>155</v>
      </c>
      <c r="E19" s="12" t="s">
        <v>237</v>
      </c>
      <c r="F19" s="14">
        <v>15</v>
      </c>
      <c r="G19" s="22">
        <f t="shared" si="0"/>
        <v>1.0416666666666666E-2</v>
      </c>
      <c r="H19" s="10" t="s">
        <v>238</v>
      </c>
    </row>
    <row r="20" spans="1:8">
      <c r="A20" s="12" t="s">
        <v>42</v>
      </c>
      <c r="B20" s="10" t="s">
        <v>233</v>
      </c>
      <c r="C20" s="10" t="s">
        <v>166</v>
      </c>
      <c r="D20" s="16" t="s">
        <v>65</v>
      </c>
      <c r="E20" s="12" t="s">
        <v>209</v>
      </c>
      <c r="F20" s="14">
        <v>20</v>
      </c>
      <c r="G20" s="22">
        <f t="shared" si="0"/>
        <v>1.3888888888888888E-2</v>
      </c>
      <c r="H20" s="10" t="s">
        <v>239</v>
      </c>
    </row>
    <row r="21" spans="1:8">
      <c r="A21" s="12" t="s">
        <v>42</v>
      </c>
      <c r="B21" s="10" t="s">
        <v>166</v>
      </c>
      <c r="C21" s="10" t="s">
        <v>240</v>
      </c>
      <c r="D21" s="16" t="s">
        <v>65</v>
      </c>
      <c r="E21" s="12" t="s">
        <v>241</v>
      </c>
      <c r="F21" s="14">
        <v>55</v>
      </c>
      <c r="G21" s="22">
        <f t="shared" si="0"/>
        <v>3.8194444444444448E-2</v>
      </c>
      <c r="H21" s="10" t="s">
        <v>242</v>
      </c>
    </row>
    <row r="22" spans="1:8">
      <c r="A22" s="12" t="s">
        <v>42</v>
      </c>
      <c r="B22" s="10" t="s">
        <v>243</v>
      </c>
      <c r="C22" s="10" t="s">
        <v>244</v>
      </c>
      <c r="D22" s="16" t="s">
        <v>65</v>
      </c>
      <c r="E22" s="12" t="s">
        <v>245</v>
      </c>
      <c r="F22" s="14">
        <v>15</v>
      </c>
      <c r="G22" s="22">
        <f t="shared" si="0"/>
        <v>1.0416666666666666E-2</v>
      </c>
      <c r="H22" s="10" t="s">
        <v>210</v>
      </c>
    </row>
    <row r="23" spans="1:8">
      <c r="A23" s="12" t="s">
        <v>42</v>
      </c>
      <c r="B23" s="10" t="s">
        <v>244</v>
      </c>
      <c r="C23" s="10" t="s">
        <v>246</v>
      </c>
      <c r="D23" s="16" t="s">
        <v>65</v>
      </c>
      <c r="E23" s="12" t="s">
        <v>224</v>
      </c>
      <c r="F23" s="14">
        <v>30</v>
      </c>
      <c r="G23" s="22">
        <f t="shared" si="0"/>
        <v>2.0833333333333332E-2</v>
      </c>
      <c r="H23" s="10" t="s">
        <v>247</v>
      </c>
    </row>
    <row r="24" spans="1:8">
      <c r="A24" s="12" t="s">
        <v>42</v>
      </c>
      <c r="B24" s="10" t="s">
        <v>248</v>
      </c>
      <c r="C24" s="10" t="s">
        <v>193</v>
      </c>
      <c r="D24" s="16" t="s">
        <v>249</v>
      </c>
      <c r="E24" s="12" t="s">
        <v>62</v>
      </c>
      <c r="F24" s="14">
        <v>160</v>
      </c>
      <c r="G24" s="22">
        <f t="shared" si="0"/>
        <v>0.1111111111111111</v>
      </c>
      <c r="H24" s="10" t="s">
        <v>250</v>
      </c>
    </row>
    <row r="25" spans="1:8">
      <c r="E25" s="23" t="s">
        <v>251</v>
      </c>
      <c r="F25" s="23">
        <f>SUM(F5:F24)</f>
        <v>1180</v>
      </c>
      <c r="G25" s="24">
        <f t="shared" si="0"/>
        <v>0.81944444444444442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zoomScaleNormal="100" workbookViewId="0"/>
  </sheetViews>
  <sheetFormatPr defaultColWidth="8.6328125" defaultRowHeight="14.5"/>
  <cols>
    <col min="1" max="1" width="12" customWidth="1"/>
    <col min="2" max="2" width="13" customWidth="1"/>
    <col min="3" max="3" width="30" customWidth="1"/>
    <col min="4" max="4" width="28" customWidth="1"/>
    <col min="5" max="5" width="20" customWidth="1"/>
    <col min="6" max="6" width="42" customWidth="1"/>
  </cols>
  <sheetData>
    <row r="1" spans="1:6" ht="18">
      <c r="A1" s="1" t="s">
        <v>252</v>
      </c>
    </row>
    <row r="3" spans="1:6">
      <c r="A3" s="8" t="s">
        <v>253</v>
      </c>
      <c r="B3" s="8" t="s">
        <v>18</v>
      </c>
      <c r="C3" s="8" t="s">
        <v>254</v>
      </c>
      <c r="D3" s="8" t="s">
        <v>255</v>
      </c>
      <c r="E3" s="8" t="s">
        <v>256</v>
      </c>
      <c r="F3" s="8" t="s">
        <v>257</v>
      </c>
    </row>
    <row r="4" spans="1:6">
      <c r="A4" s="10" t="s">
        <v>258</v>
      </c>
      <c r="B4" s="9" t="s">
        <v>23</v>
      </c>
      <c r="C4" s="10" t="s">
        <v>26</v>
      </c>
      <c r="D4" s="10" t="s">
        <v>259</v>
      </c>
      <c r="E4" s="9" t="s">
        <v>260</v>
      </c>
      <c r="F4" s="10" t="s">
        <v>261</v>
      </c>
    </row>
    <row r="5" spans="1:6">
      <c r="A5" s="10" t="s">
        <v>262</v>
      </c>
      <c r="B5" s="9" t="s">
        <v>28</v>
      </c>
      <c r="C5" s="10" t="s">
        <v>31</v>
      </c>
      <c r="D5" s="10" t="s">
        <v>263</v>
      </c>
      <c r="E5" s="9" t="s">
        <v>264</v>
      </c>
      <c r="F5" s="10" t="s">
        <v>265</v>
      </c>
    </row>
    <row r="6" spans="1:6">
      <c r="A6" s="10" t="s">
        <v>266</v>
      </c>
      <c r="B6" s="9" t="s">
        <v>33</v>
      </c>
      <c r="C6" s="9" t="s">
        <v>36</v>
      </c>
      <c r="D6" s="9" t="s">
        <v>267</v>
      </c>
      <c r="E6" s="9" t="s">
        <v>268</v>
      </c>
      <c r="F6" s="10" t="s">
        <v>269</v>
      </c>
    </row>
    <row r="7" spans="1:6">
      <c r="A7" s="10" t="s">
        <v>270</v>
      </c>
      <c r="B7" s="9" t="s">
        <v>38</v>
      </c>
      <c r="C7" s="10" t="s">
        <v>41</v>
      </c>
      <c r="D7" s="10" t="s">
        <v>271</v>
      </c>
      <c r="E7" s="9" t="s">
        <v>272</v>
      </c>
      <c r="F7" s="10" t="s">
        <v>273</v>
      </c>
    </row>
    <row r="10" spans="1:6">
      <c r="A10" s="3" t="s">
        <v>274</v>
      </c>
    </row>
    <row r="11" spans="1:6">
      <c r="A11" s="4" t="s">
        <v>10</v>
      </c>
      <c r="B11" s="6" t="s">
        <v>275</v>
      </c>
      <c r="C11" s="5" t="s">
        <v>276</v>
      </c>
    </row>
    <row r="12" spans="1:6">
      <c r="A12" s="4" t="s">
        <v>12</v>
      </c>
      <c r="B12" s="6" t="s">
        <v>277</v>
      </c>
      <c r="C12" s="5" t="s">
        <v>278</v>
      </c>
    </row>
    <row r="13" spans="1:6">
      <c r="A13" s="4" t="s">
        <v>14</v>
      </c>
      <c r="B13" s="5" t="s">
        <v>279</v>
      </c>
      <c r="C13" s="5" t="s">
        <v>280</v>
      </c>
    </row>
    <row r="14" spans="1:6">
      <c r="A14" s="4" t="s">
        <v>281</v>
      </c>
      <c r="B14" s="6" t="s">
        <v>282</v>
      </c>
      <c r="C14" s="5" t="s">
        <v>283</v>
      </c>
    </row>
    <row r="15" spans="1:6">
      <c r="A15" s="4" t="s">
        <v>284</v>
      </c>
      <c r="B15" s="5" t="s">
        <v>285</v>
      </c>
      <c r="C15" s="6" t="s">
        <v>286</v>
      </c>
    </row>
    <row r="16" spans="1:6">
      <c r="A16" s="4" t="s">
        <v>287</v>
      </c>
      <c r="B16" s="5" t="s">
        <v>288</v>
      </c>
      <c r="C16" s="6" t="s">
        <v>289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showGridLines="0" zoomScaleNormal="100" workbookViewId="0"/>
  </sheetViews>
  <sheetFormatPr defaultColWidth="8.6328125" defaultRowHeight="14.5"/>
  <cols>
    <col min="1" max="1" width="16" customWidth="1"/>
    <col min="2" max="2" width="100" customWidth="1"/>
  </cols>
  <sheetData>
    <row r="1" spans="1:2" ht="18">
      <c r="A1" s="1" t="s">
        <v>290</v>
      </c>
    </row>
    <row r="3" spans="1:2">
      <c r="A3" s="3" t="s">
        <v>291</v>
      </c>
    </row>
    <row r="4" spans="1:2">
      <c r="A4" s="4" t="s">
        <v>292</v>
      </c>
      <c r="B4" s="25" t="s">
        <v>293</v>
      </c>
    </row>
    <row r="5" spans="1:2">
      <c r="A5" s="4" t="s">
        <v>294</v>
      </c>
      <c r="B5" s="25" t="s">
        <v>295</v>
      </c>
    </row>
    <row r="7" spans="1:2">
      <c r="A7" s="3" t="s">
        <v>296</v>
      </c>
    </row>
    <row r="8" spans="1:2">
      <c r="A8" s="4" t="s">
        <v>297</v>
      </c>
      <c r="B8" s="25" t="s">
        <v>298</v>
      </c>
    </row>
    <row r="9" spans="1:2">
      <c r="A9" s="4" t="s">
        <v>299</v>
      </c>
      <c r="B9" s="25" t="s">
        <v>300</v>
      </c>
    </row>
    <row r="10" spans="1:2">
      <c r="A10" s="4" t="s">
        <v>301</v>
      </c>
      <c r="B10" s="26" t="s">
        <v>302</v>
      </c>
    </row>
    <row r="12" spans="1:2">
      <c r="A12" s="3" t="s">
        <v>303</v>
      </c>
    </row>
    <row r="13" spans="1:2">
      <c r="A13" s="27" t="s">
        <v>304</v>
      </c>
      <c r="B13" s="25" t="s">
        <v>305</v>
      </c>
    </row>
    <row r="14" spans="1:2">
      <c r="A14" s="27" t="s">
        <v>306</v>
      </c>
      <c r="B14" s="25" t="s">
        <v>307</v>
      </c>
    </row>
    <row r="15" spans="1:2">
      <c r="A15" s="27" t="s">
        <v>308</v>
      </c>
      <c r="B15" s="26" t="s">
        <v>309</v>
      </c>
    </row>
    <row r="16" spans="1:2">
      <c r="A16" s="27" t="s">
        <v>310</v>
      </c>
      <c r="B16" s="26" t="s">
        <v>311</v>
      </c>
    </row>
    <row r="17" spans="1:2">
      <c r="A17" s="27" t="s">
        <v>312</v>
      </c>
      <c r="B17" s="25" t="s">
        <v>313</v>
      </c>
    </row>
    <row r="18" spans="1:2">
      <c r="A18" s="27" t="s">
        <v>314</v>
      </c>
      <c r="B18" s="25" t="s">
        <v>315</v>
      </c>
    </row>
    <row r="20" spans="1:2">
      <c r="A20" s="4" t="s">
        <v>316</v>
      </c>
      <c r="B20" s="25" t="s">
        <v>317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行程總覽</vt:lpstr>
      <vt:lpstr>每日行程</vt:lpstr>
      <vt:lpstr>移動時間估算</vt:lpstr>
      <vt:lpstr>住宿與聯絡</vt:lpstr>
      <vt:lpstr>說明與假設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Chun-Yen Yu</cp:lastModifiedBy>
  <cp:revision>0</cp:revision>
  <dcterms:created xsi:type="dcterms:W3CDTF">2026-08-16T09:07:16Z</dcterms:created>
  <dcterms:modified xsi:type="dcterms:W3CDTF">2026-09-05T13:56:27Z</dcterms:modified>
  <dc:language>en-US</dc:language>
</cp:coreProperties>
</file>