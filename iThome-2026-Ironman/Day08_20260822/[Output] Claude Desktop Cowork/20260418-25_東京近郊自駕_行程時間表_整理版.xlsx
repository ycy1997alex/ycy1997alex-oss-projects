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行程總表" sheetId="1" state="visible" r:id="rId3"/>
    <sheet name="D1 0418" sheetId="2" state="visible" r:id="rId4"/>
    <sheet name="D2 0419" sheetId="3" state="visible" r:id="rId5"/>
    <sheet name="D3 0420" sheetId="4" state="visible" r:id="rId6"/>
    <sheet name="D4 0421" sheetId="5" state="visible" r:id="rId7"/>
    <sheet name="D5 0422" sheetId="6" state="visible" r:id="rId8"/>
    <sheet name="D6 0423" sheetId="7" state="visible" r:id="rId9"/>
    <sheet name="D7 0424" sheetId="8" state="visible" r:id="rId10"/>
    <sheet name="D8 0425" sheetId="9" state="visible" r:id="rId11"/>
    <sheet name="住宿總表" sheetId="10" state="visible" r:id="rId12"/>
    <sheet name="餐食總表" sheetId="11" state="visible" r:id="rId13"/>
  </sheets>
  <definedNames>
    <definedName function="false" hidden="false" localSheetId="1" name="_xlnm.Print_Titles" vbProcedure="false">'D1 0418'!$1:$2</definedName>
    <definedName function="false" hidden="false" localSheetId="2" name="_xlnm.Print_Titles" vbProcedure="false">'D2 0419'!$1:$2</definedName>
    <definedName function="false" hidden="false" localSheetId="3" name="_xlnm.Print_Titles" vbProcedure="false">'D3 0420'!$1:$2</definedName>
    <definedName function="false" hidden="false" localSheetId="4" name="_xlnm.Print_Titles" vbProcedure="false">'D4 0421'!$1:$2</definedName>
    <definedName function="false" hidden="false" localSheetId="5" name="_xlnm.Print_Titles" vbProcedure="false">'D5 0422'!$1:$2</definedName>
    <definedName function="false" hidden="false" localSheetId="6" name="_xlnm.Print_Titles" vbProcedure="false">'D6 0423'!$1:$2</definedName>
    <definedName function="false" hidden="false" localSheetId="7" name="_xlnm.Print_Titles" vbProcedure="false">'D7 0424'!$1:$2</definedName>
    <definedName function="false" hidden="false" localSheetId="8" name="_xlnm.Print_Titles" vbProcedure="false">'D8 0425'!$1:$2</definedName>
    <definedName function="false" hidden="false" localSheetId="0" name="_xlnm.Print_Titles" vbProcedure="false">行程總表!$4:$4</definedName>
    <definedName function="false" hidden="true" localSheetId="0" name="_xlnm._FilterDatabase" vbProcedure="false">行程總表!$A$4:$J$193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<sst xmlns="http://schemas.openxmlformats.org/spreadsheetml/2006/main" count="1833" uniqueCount="442">
  <si>
    <r>
      <rPr>
        <b val="true"/>
        <sz val="16"/>
        <color rgb="FF1F4E79"/>
        <rFont val="Microsoft JhengHei"/>
        <family val="0"/>
        <charset val="1"/>
      </rPr>
      <t xml:space="preserve">2026/04/18~25</t>
    </r>
    <r>
      <rPr>
        <b val="true"/>
        <sz val="16"/>
        <color rgb="FF1F4E79"/>
        <rFont val="Noto Sans CJK SC"/>
        <family val="2"/>
      </rPr>
      <t xml:space="preserve">　東京近郊自駕　全行程總表</t>
    </r>
  </si>
  <si>
    <t xml:space="preserve">顏色說明：</t>
  </si>
  <si>
    <t xml:space="preserve">交通</t>
  </si>
  <si>
    <t xml:space="preserve">餐食</t>
  </si>
  <si>
    <t xml:space="preserve">住宿</t>
  </si>
  <si>
    <t xml:space="preserve">手續</t>
  </si>
  <si>
    <t xml:space="preserve">景點</t>
  </si>
  <si>
    <r>
      <rPr>
        <i val="true"/>
        <sz val="9"/>
        <color rgb="FF808080"/>
        <rFont val="Noto Sans CJK SC"/>
        <family val="2"/>
      </rPr>
      <t xml:space="preserve">（使用第 </t>
    </r>
    <r>
      <rPr>
        <i val="true"/>
        <sz val="9"/>
        <color rgb="FF808080"/>
        <rFont val="Microsoft JhengHei"/>
        <family val="0"/>
        <charset val="1"/>
      </rPr>
      <t xml:space="preserve">4 </t>
    </r>
    <r>
      <rPr>
        <i val="true"/>
        <sz val="9"/>
        <color rgb="FF808080"/>
        <rFont val="Noto Sans CJK SC"/>
        <family val="2"/>
      </rPr>
      <t xml:space="preserve">列的篩選鈕可依日期／類型快速過濾）</t>
    </r>
  </si>
  <si>
    <t xml:space="preserve">天數</t>
  </si>
  <si>
    <t xml:space="preserve">日期</t>
  </si>
  <si>
    <t xml:space="preserve">星期</t>
  </si>
  <si>
    <t xml:space="preserve">開始</t>
  </si>
  <si>
    <t xml:space="preserve">結束</t>
  </si>
  <si>
    <r>
      <rPr>
        <b val="true"/>
        <sz val="11"/>
        <color rgb="FFFFFFFF"/>
        <rFont val="Noto Sans CJK SC"/>
        <family val="2"/>
      </rPr>
      <t xml:space="preserve">歷時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分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</si>
  <si>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類型</t>
  </si>
  <si>
    <t xml:space="preserve">事件</t>
  </si>
  <si>
    <t xml:space="preserve">地點</t>
  </si>
  <si>
    <t xml:space="preserve">備註</t>
  </si>
  <si>
    <t xml:space="preserve">2026/04/18</t>
  </si>
  <si>
    <t xml:space="preserve">六</t>
  </si>
  <si>
    <t xml:space="preserve">起床</t>
  </si>
  <si>
    <t xml:space="preserve">家</t>
  </si>
  <si>
    <t xml:space="preserve">05:00
05:20</t>
  </si>
  <si>
    <t xml:space="preserve">車程</t>
  </si>
  <si>
    <r>
      <rPr>
        <sz val="10"/>
        <color rgb="FF1F2937"/>
        <rFont val="Noto Sans CJK SC"/>
        <family val="2"/>
      </rPr>
      <t xml:space="preserve">宜蘭出發 </t>
    </r>
    <r>
      <rPr>
        <sz val="10"/>
        <color rgb="FF1F2937"/>
        <rFont val="Microsoft JhengHei"/>
        <family val="0"/>
        <charset val="1"/>
      </rPr>
      <t xml:space="preserve">1:10~1:25
</t>
    </r>
    <r>
      <rPr>
        <sz val="10"/>
        <color rgb="FF1F2937"/>
        <rFont val="Noto Sans CJK SC"/>
        <family val="2"/>
      </rPr>
      <t xml:space="preserve">新竹出發 </t>
    </r>
    <r>
      <rPr>
        <sz val="10"/>
        <color rgb="FF1F2937"/>
        <rFont val="Microsoft JhengHei"/>
        <family val="0"/>
        <charset val="1"/>
      </rPr>
      <t xml:space="preserve">45~55</t>
    </r>
  </si>
  <si>
    <t xml:space="preserve">停車與接送</t>
  </si>
  <si>
    <t xml:space="preserve">報到</t>
  </si>
  <si>
    <r>
      <rPr>
        <sz val="10"/>
        <color rgb="FF1F2937"/>
        <rFont val="Noto Sans CJK SC"/>
        <family val="2"/>
      </rPr>
      <t xml:space="preserve">桃園機場 </t>
    </r>
    <r>
      <rPr>
        <sz val="10"/>
        <color rgb="FF1F2937"/>
        <rFont val="Microsoft JhengHe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航廈 </t>
    </r>
    <r>
      <rPr>
        <sz val="10"/>
        <color rgb="FF1F2937"/>
        <rFont val="Microsoft JhengHei"/>
        <family val="0"/>
        <charset val="1"/>
      </rPr>
      <t xml:space="preserve">5</t>
    </r>
    <r>
      <rPr>
        <sz val="10"/>
        <color rgb="FF1F2937"/>
        <rFont val="Noto Sans CJK SC"/>
        <family val="2"/>
      </rPr>
      <t xml:space="preserve">或</t>
    </r>
    <r>
      <rPr>
        <sz val="10"/>
        <color rgb="FF1F2937"/>
        <rFont val="Microsoft JhengHei"/>
        <family val="0"/>
        <charset val="1"/>
      </rPr>
      <t xml:space="preserve">6</t>
    </r>
    <r>
      <rPr>
        <sz val="10"/>
        <color rgb="FF1F2937"/>
        <rFont val="Noto Sans CJK SC"/>
        <family val="2"/>
      </rPr>
      <t xml:space="preserve">號櫃台</t>
    </r>
  </si>
  <si>
    <r>
      <rPr>
        <sz val="10"/>
        <color rgb="FF1F2937"/>
        <rFont val="Noto Sans CJK SC"/>
        <family val="2"/>
      </rPr>
      <t xml:space="preserve">需現場劃機位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選</t>
    </r>
    <r>
      <rPr>
        <sz val="10"/>
        <color rgb="FF1F2937"/>
        <rFont val="Microsoft JhengHei"/>
        <family val="0"/>
        <charset val="1"/>
      </rPr>
      <t xml:space="preserve">A</t>
    </r>
    <r>
      <rPr>
        <sz val="10"/>
        <color rgb="FF1F2937"/>
        <rFont val="Noto Sans CJK SC"/>
        <family val="2"/>
      </rPr>
      <t xml:space="preserve">側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</si>
  <si>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飛行</t>
  </si>
  <si>
    <t xml:space="preserve">JX800 (A350-1000)</t>
  </si>
  <si>
    <r>
      <rPr>
        <sz val="10"/>
        <color rgb="FF1F2937"/>
        <rFont val="Noto Sans CJK SC"/>
        <family val="2"/>
      </rPr>
      <t xml:space="preserve">飛行時間：</t>
    </r>
    <r>
      <rPr>
        <sz val="10"/>
        <color rgb="FF1F2937"/>
        <rFont val="Microsoft JhengHei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小時</t>
    </r>
    <r>
      <rPr>
        <sz val="10"/>
        <color rgb="FF1F2937"/>
        <rFont val="Microsoft JhengHei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分鐘</t>
    </r>
  </si>
  <si>
    <t xml:space="preserve">下機拿行李出關</t>
  </si>
  <si>
    <r>
      <rPr>
        <sz val="10"/>
        <color rgb="FF1F2937"/>
        <rFont val="Noto Sans CJK SC"/>
        <family val="2"/>
      </rPr>
      <t xml:space="preserve">成田機場 </t>
    </r>
    <r>
      <rPr>
        <sz val="10"/>
        <color rgb="FF1F2937"/>
        <rFont val="Microsoft JhengHei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航廈</t>
    </r>
  </si>
  <si>
    <t xml:space="preserve">在機場隨便買點東西吃</t>
  </si>
  <si>
    <t xml:space="preserve">租車櫃台報到</t>
  </si>
  <si>
    <r>
      <rPr>
        <sz val="10"/>
        <color rgb="FF1F2937"/>
        <rFont val="Noto Sans CJK SC"/>
        <family val="2"/>
      </rPr>
      <t xml:space="preserve">成田機場 </t>
    </r>
    <r>
      <rPr>
        <sz val="10"/>
        <color rgb="FF1F2937"/>
        <rFont val="Microsoft JhengHei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航廈 </t>
    </r>
    <r>
      <rPr>
        <sz val="10"/>
        <color rgb="FF1F2937"/>
        <rFont val="Microsoft JhengHei"/>
        <family val="0"/>
        <charset val="1"/>
      </rPr>
      <t xml:space="preserve">TOYOTA</t>
    </r>
    <r>
      <rPr>
        <sz val="10"/>
        <color rgb="FF1F2937"/>
        <rFont val="Noto Sans CJK SC"/>
        <family val="2"/>
      </rPr>
      <t xml:space="preserve">租車</t>
    </r>
  </si>
  <si>
    <t xml:space="preserve">搭接駁車</t>
  </si>
  <si>
    <r>
      <rPr>
        <sz val="10"/>
        <color rgb="FF1F2937"/>
        <rFont val="Noto Sans CJK SC"/>
        <family val="2"/>
      </rPr>
      <t xml:space="preserve">成田機場 </t>
    </r>
    <r>
      <rPr>
        <sz val="10"/>
        <color rgb="FF1F2937"/>
        <rFont val="Microsoft JhengHei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航廈 第</t>
    </r>
    <r>
      <rPr>
        <sz val="10"/>
        <color rgb="FF1F2937"/>
        <rFont val="Microsoft JhengHei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號公車站牌</t>
    </r>
  </si>
  <si>
    <t xml:space="preserve">取租車</t>
  </si>
  <si>
    <r>
      <rPr>
        <sz val="10"/>
        <color rgb="FF1F2937"/>
        <rFont val="Microsoft JhengHei"/>
        <family val="0"/>
        <charset val="1"/>
      </rPr>
      <t xml:space="preserve">TOYOTA</t>
    </r>
    <r>
      <rPr>
        <sz val="10"/>
        <color rgb="FF1F2937"/>
        <rFont val="Noto Sans CJK SC"/>
        <family val="2"/>
      </rPr>
      <t xml:space="preserve">租車 成田空港店</t>
    </r>
  </si>
  <si>
    <r>
      <rPr>
        <sz val="10"/>
        <color rgb="FF1F2937"/>
        <rFont val="Noto Sans CJK SC"/>
        <family val="2"/>
      </rPr>
      <t xml:space="preserve">駐車場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牛久大仏</t>
    </r>
    <r>
      <rPr>
        <sz val="10"/>
        <color rgb="FF1F2937"/>
        <rFont val="Microsoft JhengHei"/>
        <family val="0"/>
        <charset val="1"/>
      </rPr>
      <t xml:space="preserve">) (</t>
    </r>
    <r>
      <rPr>
        <sz val="10"/>
        <color rgb="FF1F2937"/>
        <rFont val="Noto Sans CJK SC"/>
        <family val="2"/>
      </rPr>
      <t xml:space="preserve">免費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</si>
  <si>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拍拍照</t>
  </si>
  <si>
    <t xml:space="preserve">牛久大佛</t>
  </si>
  <si>
    <r>
      <rPr>
        <sz val="10"/>
        <color rgb="FF1F2937"/>
        <rFont val="Noto Sans CJK SC"/>
        <family val="2"/>
      </rPr>
      <t xml:space="preserve">不進去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僅參觀庭園 </t>
    </r>
    <r>
      <rPr>
        <sz val="10"/>
        <color rgb="FF1F2937"/>
        <rFont val="Microsoft JhengHei"/>
        <family val="0"/>
        <charset val="1"/>
      </rPr>
      <t xml:space="preserve">500</t>
    </r>
    <r>
      <rPr>
        <sz val="10"/>
        <color rgb="FF1F2937"/>
        <rFont val="Noto Sans CJK SC"/>
        <family val="2"/>
      </rPr>
      <t xml:space="preserve">円、含大佛胎內參觀的參拜費 </t>
    </r>
    <r>
      <rPr>
        <sz val="10"/>
        <color rgb="FF1F2937"/>
        <rFont val="Microsoft JhengHei"/>
        <family val="0"/>
        <charset val="1"/>
      </rPr>
      <t xml:space="preserve">800</t>
    </r>
    <r>
      <rPr>
        <sz val="10"/>
        <color rgb="FF1F2937"/>
        <rFont val="Noto Sans CJK SC"/>
        <family val="2"/>
      </rPr>
      <t xml:space="preserve">円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</si>
  <si>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附近免費停車場</t>
  </si>
  <si>
    <t xml:space="preserve">看風車與鬱金香</t>
  </si>
  <si>
    <t xml:space="preserve">霞浦綜合公園</t>
  </si>
  <si>
    <t xml:space="preserve">日立駅海岸口駐車場</t>
  </si>
  <si>
    <t xml:space="preserve">看海景、夕落</t>
  </si>
  <si>
    <t xml:space="preserve">Sea Birds Café</t>
  </si>
  <si>
    <r>
      <rPr>
        <sz val="10"/>
        <color rgb="FF1F2937"/>
        <rFont val="Noto Sans CJK SC"/>
        <family val="2"/>
      </rPr>
      <t xml:space="preserve">日落時間 </t>
    </r>
    <r>
      <rPr>
        <sz val="10"/>
        <color rgb="FF1F2937"/>
        <rFont val="Microsoft JhengHei"/>
        <family val="0"/>
        <charset val="1"/>
      </rPr>
      <t xml:space="preserve">18:14</t>
    </r>
  </si>
  <si>
    <t xml:space="preserve">日立山飯店專用駐車場</t>
  </si>
  <si>
    <t xml:space="preserve">Check-In</t>
  </si>
  <si>
    <t xml:space="preserve">日立山飯店</t>
  </si>
  <si>
    <r>
      <rPr>
        <sz val="10"/>
        <color rgb="FF1F2937"/>
        <rFont val="Noto Sans CJK SC"/>
        <family val="2"/>
      </rPr>
      <t xml:space="preserve">晚餐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中華拉麵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</si>
  <si>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麺屋 金花土</t>
  </si>
  <si>
    <r>
      <rPr>
        <sz val="10"/>
        <color rgb="FF1F2937"/>
        <rFont val="Noto Sans CJK SC"/>
        <family val="2"/>
      </rPr>
      <t xml:space="preserve">中華拉麵，僅現金，約 </t>
    </r>
    <r>
      <rPr>
        <sz val="10"/>
        <color rgb="FF1F2937"/>
        <rFont val="Microsoft JhengHei"/>
        <family val="0"/>
        <charset val="1"/>
      </rPr>
      <t xml:space="preserve">1000-2000</t>
    </r>
    <r>
      <rPr>
        <sz val="10"/>
        <color rgb="FF1F2937"/>
        <rFont val="Noto Sans CJK SC"/>
        <family val="2"/>
      </rPr>
      <t xml:space="preserve">円</t>
    </r>
  </si>
  <si>
    <t xml:space="preserve">賞夜櫻</t>
  </si>
  <si>
    <t xml:space="preserve">平和通り</t>
  </si>
  <si>
    <t xml:space="preserve">可能沒有櫻花了</t>
  </si>
  <si>
    <t xml:space="preserve">休息</t>
  </si>
  <si>
    <r>
      <rPr>
        <sz val="10"/>
        <color rgb="FF1F2937"/>
        <rFont val="Noto Sans CJK SC"/>
        <family val="2"/>
      </rPr>
      <t xml:space="preserve">雙人</t>
    </r>
    <r>
      <rPr>
        <sz val="10"/>
        <color rgb="FF1F2937"/>
        <rFont val="Microsoft JhengHei"/>
        <family val="0"/>
        <charset val="1"/>
      </rPr>
      <t xml:space="preserve">1+</t>
    </r>
    <r>
      <rPr>
        <sz val="10"/>
        <color rgb="FF1F2937"/>
        <rFont val="Noto Sans CJK SC"/>
        <family val="2"/>
      </rPr>
      <t xml:space="preserve">雙床</t>
    </r>
    <r>
      <rPr>
        <sz val="10"/>
        <color rgb="FF1F2937"/>
        <rFont val="Microsoft JhengHei"/>
        <family val="0"/>
        <charset val="1"/>
      </rPr>
      <t xml:space="preserve">1</t>
    </r>
  </si>
  <si>
    <t xml:space="preserve">2026/04/19</t>
  </si>
  <si>
    <t xml:space="preserve">日</t>
  </si>
  <si>
    <r>
      <rPr>
        <sz val="10"/>
        <color rgb="FF1F2937"/>
        <rFont val="Noto Sans CJK SC"/>
        <family val="2"/>
      </rPr>
      <t xml:space="preserve">觀賞日出 </t>
    </r>
    <r>
      <rPr>
        <sz val="10"/>
        <color rgb="FF1F2937"/>
        <rFont val="Microsoft JhengHei"/>
        <family val="0"/>
        <charset val="1"/>
      </rPr>
      <t xml:space="preserve">(04:59)</t>
    </r>
  </si>
  <si>
    <t xml:space="preserve">日立車站</t>
  </si>
  <si>
    <t xml:space="preserve">內部整面玻璃看出去</t>
  </si>
  <si>
    <t xml:space="preserve">補眠</t>
  </si>
  <si>
    <r>
      <rPr>
        <sz val="10"/>
        <color rgb="FF1F2937"/>
        <rFont val="Noto Sans CJK SC"/>
        <family val="2"/>
      </rPr>
      <t xml:space="preserve">早餐 </t>
    </r>
    <r>
      <rPr>
        <sz val="10"/>
        <color rgb="FF1F2937"/>
        <rFont val="Microsoft JhengHei"/>
        <family val="0"/>
        <charset val="1"/>
      </rPr>
      <t xml:space="preserve">(06:00-08:45)</t>
    </r>
  </si>
  <si>
    <t xml:space="preserve">飯店有附早餐</t>
  </si>
  <si>
    <r>
      <rPr>
        <sz val="10"/>
        <color rgb="FF1F2937"/>
        <rFont val="Noto Sans CJK SC"/>
        <family val="2"/>
      </rPr>
      <t xml:space="preserve">車程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注意公園附近單行道區域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</si>
  <si>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神峰公園 頂上停車場</t>
  </si>
  <si>
    <r>
      <rPr>
        <sz val="10"/>
        <color rgb="FF1F2937"/>
        <rFont val="Noto Sans CJK SC"/>
        <family val="2"/>
      </rPr>
      <t xml:space="preserve">葉櫻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殘枝綠葉</t>
    </r>
    <r>
      <rPr>
        <sz val="10"/>
        <color rgb="FF1F2937"/>
        <rFont val="Microsoft JhengHei"/>
        <family val="0"/>
        <charset val="1"/>
      </rPr>
      <t xml:space="preserve">) &amp; </t>
    </r>
    <r>
      <rPr>
        <sz val="10"/>
        <color rgb="FF1F2937"/>
        <rFont val="Noto Sans CJK SC"/>
        <family val="2"/>
      </rPr>
      <t xml:space="preserve">頂層展望台</t>
    </r>
  </si>
  <si>
    <t xml:space="preserve">日立神峰公園</t>
  </si>
  <si>
    <r>
      <rPr>
        <sz val="10"/>
        <color rgb="FF1F2937"/>
        <rFont val="Noto Sans CJK SC"/>
        <family val="2"/>
      </rPr>
      <t xml:space="preserve">御岩神社 第一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二駐車場</t>
    </r>
  </si>
  <si>
    <r>
      <rPr>
        <sz val="10"/>
        <color rgb="FF1F2937"/>
        <rFont val="Noto Sans CJK SC"/>
        <family val="2"/>
      </rPr>
      <t xml:space="preserve">最強能量場 </t>
    </r>
    <r>
      <rPr>
        <sz val="10"/>
        <color rgb="FF1F2937"/>
        <rFont val="Microsoft JhengHei"/>
        <family val="0"/>
        <charset val="1"/>
      </rPr>
      <t xml:space="preserve">&amp; 188</t>
    </r>
    <r>
      <rPr>
        <sz val="10"/>
        <color rgb="FF1F2937"/>
        <rFont val="Noto Sans CJK SC"/>
        <family val="2"/>
      </rPr>
      <t xml:space="preserve">尊神 </t>
    </r>
    <r>
      <rPr>
        <sz val="10"/>
        <color rgb="FF1F2937"/>
        <rFont val="Microsoft JhengHei"/>
        <family val="0"/>
        <charset val="1"/>
      </rPr>
      <t xml:space="preserve">&amp; </t>
    </r>
    <r>
      <rPr>
        <sz val="10"/>
        <color rgb="FF1F2937"/>
        <rFont val="Noto Sans CJK SC"/>
        <family val="2"/>
      </rPr>
      <t xml:space="preserve">御神木</t>
    </r>
    <r>
      <rPr>
        <sz val="10"/>
        <color rgb="FF1F2937"/>
        <rFont val="Microsoft JhengHei"/>
        <family val="0"/>
        <charset val="1"/>
      </rPr>
      <t xml:space="preserve">-</t>
    </r>
    <r>
      <rPr>
        <sz val="10"/>
        <color rgb="FF1F2937"/>
        <rFont val="Noto Sans CJK SC"/>
        <family val="2"/>
      </rPr>
      <t xml:space="preserve">三本杉 </t>
    </r>
    <r>
      <rPr>
        <sz val="10"/>
        <color rgb="FF1F2937"/>
        <rFont val="Microsoft JhengHei"/>
        <family val="0"/>
        <charset val="1"/>
      </rPr>
      <t xml:space="preserve">&amp; </t>
    </r>
    <r>
      <rPr>
        <sz val="10"/>
        <color rgb="FF1F2937"/>
        <rFont val="Noto Sans CJK SC"/>
        <family val="2"/>
      </rPr>
      <t xml:space="preserve">後生車</t>
    </r>
  </si>
  <si>
    <t xml:space="preserve">御岩神社</t>
  </si>
  <si>
    <t xml:space="preserve">不爬上山</t>
  </si>
  <si>
    <r>
      <rPr>
        <sz val="10"/>
        <color rgb="FF1F2937"/>
        <rFont val="Noto Sans CJK SC"/>
        <family val="2"/>
      </rPr>
      <t xml:space="preserve">竜神峡 第</t>
    </r>
    <r>
      <rPr>
        <sz val="10"/>
        <color rgb="FF1F2937"/>
        <rFont val="Microsoft JhengHe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駐車場</t>
    </r>
  </si>
  <si>
    <r>
      <rPr>
        <sz val="10"/>
        <color rgb="FF1F2937"/>
        <rFont val="Noto Sans CJK SC"/>
        <family val="2"/>
      </rPr>
      <t xml:space="preserve">吊橋漫步 </t>
    </r>
    <r>
      <rPr>
        <sz val="10"/>
        <color rgb="FF1F2937"/>
        <rFont val="Microsoft JhengHei"/>
        <family val="0"/>
        <charset val="1"/>
      </rPr>
      <t xml:space="preserve">&amp; </t>
    </r>
    <r>
      <rPr>
        <sz val="10"/>
        <color rgb="FF1F2937"/>
        <rFont val="Noto Sans CJK SC"/>
        <family val="2"/>
      </rPr>
      <t xml:space="preserve">看鯉魚旗祭 </t>
    </r>
    <r>
      <rPr>
        <sz val="10"/>
        <color rgb="FF1F2937"/>
        <rFont val="Microsoft JhengHei"/>
        <family val="0"/>
        <charset val="1"/>
      </rPr>
      <t xml:space="preserve">&amp; </t>
    </r>
    <r>
      <rPr>
        <sz val="10"/>
        <color rgb="FF1F2937"/>
        <rFont val="Noto Sans CJK SC"/>
        <family val="2"/>
      </rPr>
      <t xml:space="preserve">看高空彈跳</t>
    </r>
  </si>
  <si>
    <t xml:space="preserve">龍神大吊橋</t>
  </si>
  <si>
    <r>
      <rPr>
        <sz val="10"/>
        <color rgb="FF1F2937"/>
        <rFont val="Noto Sans CJK SC"/>
        <family val="2"/>
      </rPr>
      <t xml:space="preserve">通行券</t>
    </r>
    <r>
      <rPr>
        <sz val="10"/>
        <color rgb="FF1F2937"/>
        <rFont val="Microsoft JhengHei"/>
        <family val="0"/>
        <charset val="1"/>
      </rPr>
      <t xml:space="preserve">320</t>
    </r>
    <r>
      <rPr>
        <sz val="10"/>
        <color rgb="FF1F2937"/>
        <rFont val="Noto Sans CJK SC"/>
        <family val="2"/>
      </rPr>
      <t xml:space="preserve">円，橋頭買，有吊橋餅乾</t>
    </r>
  </si>
  <si>
    <r>
      <rPr>
        <sz val="10"/>
        <color rgb="FF1F2937"/>
        <rFont val="Noto Sans CJK SC"/>
        <family val="2"/>
      </rPr>
      <t xml:space="preserve">袋田滝本町営第一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二無料駐車場</t>
    </r>
  </si>
  <si>
    <r>
      <rPr>
        <sz val="10"/>
        <color rgb="FF1F2937"/>
        <rFont val="Noto Sans CJK SC"/>
        <family val="2"/>
      </rPr>
      <t xml:space="preserve">午餐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蕎麥麵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</si>
  <si>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Takimoto</t>
  </si>
  <si>
    <r>
      <rPr>
        <sz val="10"/>
        <color rgb="FF1F2937"/>
        <rFont val="Noto Sans CJK SC"/>
        <family val="2"/>
      </rPr>
      <t xml:space="preserve">停車後走</t>
    </r>
    <r>
      <rPr>
        <sz val="10"/>
        <color rgb="FF1F2937"/>
        <rFont val="Microsoft JhengHei"/>
        <family val="0"/>
        <charset val="1"/>
      </rPr>
      <t xml:space="preserve">15</t>
    </r>
    <r>
      <rPr>
        <sz val="10"/>
        <color rgb="FF1F2937"/>
        <rFont val="Noto Sans CJK SC"/>
        <family val="2"/>
      </rPr>
      <t xml:space="preserve">分鐘，可換</t>
    </r>
  </si>
  <si>
    <t xml:space="preserve">看瀑布</t>
  </si>
  <si>
    <t xml:space="preserve">袋田瀑布</t>
  </si>
  <si>
    <r>
      <rPr>
        <sz val="10"/>
        <color rgb="FF1F2937"/>
        <rFont val="Noto Sans CJK SC"/>
        <family val="2"/>
      </rPr>
      <t xml:space="preserve">門票</t>
    </r>
    <r>
      <rPr>
        <sz val="10"/>
        <color rgb="FF1F2937"/>
        <rFont val="Microsoft JhengHei"/>
        <family val="0"/>
        <charset val="1"/>
      </rPr>
      <t xml:space="preserve">300</t>
    </r>
    <r>
      <rPr>
        <sz val="10"/>
        <color rgb="FF1F2937"/>
        <rFont val="Noto Sans CJK SC"/>
        <family val="2"/>
      </rPr>
      <t xml:space="preserve">円，</t>
    </r>
    <r>
      <rPr>
        <sz val="10"/>
        <color rgb="FF1F2937"/>
        <rFont val="Microsoft JhengHei"/>
        <family val="0"/>
        <charset val="1"/>
      </rPr>
      <t xml:space="preserve">17:00 </t>
    </r>
    <r>
      <rPr>
        <sz val="10"/>
        <color rgb="FF1F2937"/>
        <rFont val="Noto Sans CJK SC"/>
        <family val="2"/>
      </rPr>
      <t xml:space="preserve">關閉</t>
    </r>
  </si>
  <si>
    <t xml:space="preserve">公園停車場</t>
  </si>
  <si>
    <r>
      <rPr>
        <sz val="10"/>
        <color rgb="FF1F2937"/>
        <rFont val="Noto Sans CJK SC"/>
        <family val="2"/>
      </rPr>
      <t xml:space="preserve">日落 </t>
    </r>
    <r>
      <rPr>
        <sz val="10"/>
        <color rgb="FF1F2937"/>
        <rFont val="Microsoft JhengHei"/>
        <family val="0"/>
        <charset val="1"/>
      </rPr>
      <t xml:space="preserve">(18:18) </t>
    </r>
    <r>
      <rPr>
        <sz val="10"/>
        <color rgb="FF1F2937"/>
        <rFont val="Noto Sans CJK SC"/>
        <family val="2"/>
      </rPr>
      <t xml:space="preserve">花況好會有夜間點燈</t>
    </r>
  </si>
  <si>
    <t xml:space="preserve">静峰故鄉公園</t>
  </si>
  <si>
    <r>
      <rPr>
        <sz val="10"/>
        <color rgb="FF1F2937"/>
        <rFont val="Noto Sans CJK SC"/>
        <family val="2"/>
      </rPr>
      <t xml:space="preserve">櫻花祭期間，門票</t>
    </r>
    <r>
      <rPr>
        <sz val="10"/>
        <color rgb="FF1F2937"/>
        <rFont val="Microsoft JhengHei"/>
        <family val="0"/>
        <charset val="1"/>
      </rPr>
      <t xml:space="preserve">300</t>
    </r>
    <r>
      <rPr>
        <sz val="10"/>
        <color rgb="FF1F2937"/>
        <rFont val="Noto Sans CJK SC"/>
        <family val="2"/>
      </rPr>
      <t xml:space="preserve">円，停車</t>
    </r>
    <r>
      <rPr>
        <sz val="10"/>
        <color rgb="FF1F2937"/>
        <rFont val="Microsoft JhengHei"/>
        <family val="0"/>
        <charset val="1"/>
      </rPr>
      <t xml:space="preserve">500</t>
    </r>
    <r>
      <rPr>
        <sz val="10"/>
        <color rgb="FF1F2937"/>
        <rFont val="Noto Sans CJK SC"/>
        <family val="2"/>
      </rPr>
      <t xml:space="preserve">円</t>
    </r>
  </si>
  <si>
    <t xml:space="preserve">飯店門口停車場</t>
  </si>
  <si>
    <t xml:space="preserve">とびた荘</t>
  </si>
  <si>
    <r>
      <rPr>
        <sz val="10"/>
        <color rgb="FF1F2937"/>
        <rFont val="Microsoft JhengHei"/>
        <family val="0"/>
        <charset val="1"/>
      </rPr>
      <t xml:space="preserve">21:00</t>
    </r>
    <r>
      <rPr>
        <sz val="10"/>
        <color rgb="FF1F2937"/>
        <rFont val="Noto Sans CJK SC"/>
        <family val="2"/>
      </rPr>
      <t xml:space="preserve">前須入住</t>
    </r>
  </si>
  <si>
    <t xml:space="preserve">餐廳門口停車場</t>
  </si>
  <si>
    <r>
      <rPr>
        <sz val="10"/>
        <color rgb="FF1F2937"/>
        <rFont val="Noto Sans CJK SC"/>
        <family val="2"/>
      </rPr>
      <t xml:space="preserve">晚餐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鰻魚飯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炸豬排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</si>
  <si>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Matsunobu</t>
  </si>
  <si>
    <t xml:space="preserve">有名的是炸豬排</t>
  </si>
  <si>
    <t xml:space="preserve">逛超市</t>
  </si>
  <si>
    <t xml:space="preserve">セイブ 食彩館大洗店</t>
  </si>
  <si>
    <r>
      <rPr>
        <sz val="10"/>
        <color rgb="FF1F2937"/>
        <rFont val="Microsoft JhengHei"/>
        <family val="0"/>
        <charset val="1"/>
      </rPr>
      <t xml:space="preserve">4</t>
    </r>
    <r>
      <rPr>
        <sz val="10"/>
        <color rgb="FF1F2937"/>
        <rFont val="Noto Sans CJK SC"/>
        <family val="2"/>
      </rPr>
      <t xml:space="preserve">人房，有溫泉</t>
    </r>
  </si>
  <si>
    <t xml:space="preserve">2026/04/20</t>
  </si>
  <si>
    <t xml:space="preserve">一</t>
  </si>
  <si>
    <r>
      <rPr>
        <sz val="10"/>
        <color rgb="FF1F2937"/>
        <rFont val="Noto Sans CJK SC"/>
        <family val="2"/>
      </rPr>
      <t xml:space="preserve">起床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注意海濱公園開放時間</t>
    </r>
    <r>
      <rPr>
        <sz val="10"/>
        <color rgb="FF1F2937"/>
        <rFont val="Microsoft JhengHei"/>
        <family val="0"/>
        <charset val="1"/>
      </rPr>
      <t xml:space="preserve">!!!)</t>
    </r>
  </si>
  <si>
    <t xml:space="preserve">買早餐</t>
  </si>
  <si>
    <r>
      <rPr>
        <sz val="10"/>
        <color rgb="FF1F2937"/>
        <rFont val="Noto Sans CJK SC"/>
        <family val="2"/>
      </rPr>
      <t xml:space="preserve">便利商店 </t>
    </r>
    <r>
      <rPr>
        <sz val="10"/>
        <color rgb="FF1F2937"/>
        <rFont val="Microsoft JhengHei"/>
        <family val="0"/>
        <charset val="1"/>
      </rPr>
      <t xml:space="preserve">(7-11)</t>
    </r>
  </si>
  <si>
    <t xml:space="preserve">多買些東西可以適時補充體力，午餐先預備著</t>
  </si>
  <si>
    <t xml:space="preserve">西口駐車場</t>
  </si>
  <si>
    <r>
      <rPr>
        <sz val="10"/>
        <color rgb="FF1F2937"/>
        <rFont val="Noto Sans CJK SC"/>
        <family val="2"/>
      </rPr>
      <t xml:space="preserve">停車 </t>
    </r>
    <r>
      <rPr>
        <sz val="10"/>
        <color rgb="FF1F2937"/>
        <rFont val="Microsoft JhengHei"/>
        <family val="0"/>
        <charset val="1"/>
      </rPr>
      <t xml:space="preserve">&amp; </t>
    </r>
    <r>
      <rPr>
        <sz val="10"/>
        <color rgb="FF1F2937"/>
        <rFont val="Noto Sans CJK SC"/>
        <family val="2"/>
      </rPr>
      <t xml:space="preserve">等開園</t>
    </r>
  </si>
  <si>
    <t xml:space="preserve">國營常陸海濱公園</t>
  </si>
  <si>
    <r>
      <rPr>
        <sz val="10"/>
        <color rgb="FF1F2937"/>
        <rFont val="Noto Sans CJK SC"/>
        <family val="2"/>
      </rPr>
      <t xml:space="preserve">開園</t>
    </r>
    <r>
      <rPr>
        <sz val="10"/>
        <color rgb="FF1F2937"/>
        <rFont val="Microsoft JhengHei"/>
        <family val="0"/>
        <charset val="1"/>
      </rPr>
      <t xml:space="preserve">09:30</t>
    </r>
    <r>
      <rPr>
        <sz val="10"/>
        <color rgb="FF1F2937"/>
        <rFont val="Noto Sans CJK SC"/>
        <family val="2"/>
      </rPr>
      <t xml:space="preserve">，提前</t>
    </r>
    <r>
      <rPr>
        <sz val="10"/>
        <color rgb="FF1F2937"/>
        <rFont val="Microsoft JhengHei"/>
        <family val="0"/>
        <charset val="1"/>
      </rPr>
      <t xml:space="preserve">09:00</t>
    </r>
    <r>
      <rPr>
        <sz val="10"/>
        <color rgb="FF1F2937"/>
        <rFont val="Noto Sans CJK SC"/>
        <family val="2"/>
      </rPr>
      <t xml:space="preserve">到，也可能會更提早開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例如</t>
    </r>
    <r>
      <rPr>
        <sz val="10"/>
        <color rgb="FF1F2937"/>
        <rFont val="Microsoft JhengHei"/>
        <family val="0"/>
        <charset val="1"/>
      </rPr>
      <t xml:space="preserve">08:30)</t>
    </r>
  </si>
  <si>
    <t xml:space="preserve">見晴之丘粉蝶花</t>
  </si>
  <si>
    <r>
      <rPr>
        <sz val="10"/>
        <color rgb="FF1F2937"/>
        <rFont val="Noto Sans CJK SC"/>
        <family val="2"/>
      </rPr>
      <t xml:space="preserve">入園費 </t>
    </r>
    <r>
      <rPr>
        <sz val="10"/>
        <color rgb="FF1F2937"/>
        <rFont val="Microsoft JhengHei"/>
        <family val="0"/>
        <charset val="1"/>
      </rPr>
      <t xml:space="preserve">450</t>
    </r>
    <r>
      <rPr>
        <sz val="10"/>
        <color rgb="FF1F2937"/>
        <rFont val="Noto Sans CJK SC"/>
        <family val="2"/>
      </rPr>
      <t xml:space="preserve">円 </t>
    </r>
    <r>
      <rPr>
        <sz val="10"/>
        <color rgb="FF1F2937"/>
        <rFont val="Microsoft JhengHei"/>
        <family val="0"/>
        <charset val="1"/>
      </rPr>
      <t xml:space="preserve">&amp; </t>
    </r>
    <r>
      <rPr>
        <sz val="10"/>
        <color rgb="FF1F2937"/>
        <rFont val="Noto Sans CJK SC"/>
        <family val="2"/>
      </rPr>
      <t xml:space="preserve">附加費 </t>
    </r>
    <r>
      <rPr>
        <sz val="10"/>
        <color rgb="FF1F2937"/>
        <rFont val="Microsoft JhengHei"/>
        <family val="0"/>
        <charset val="1"/>
      </rPr>
      <t xml:space="preserve">350</t>
    </r>
    <r>
      <rPr>
        <sz val="10"/>
        <color rgb="FF1F2937"/>
        <rFont val="Noto Sans CJK SC"/>
        <family val="2"/>
      </rPr>
      <t xml:space="preserve">円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現場自動售票機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官網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便利商店</t>
    </r>
    <r>
      <rPr>
        <sz val="10"/>
        <color rgb="FF1F2937"/>
        <rFont val="Microsoft JhengHei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，停車</t>
    </r>
    <r>
      <rPr>
        <sz val="10"/>
        <color rgb="FF1F2937"/>
        <rFont val="Microsoft JhengHei"/>
        <family val="0"/>
        <charset val="1"/>
      </rPr>
      <t xml:space="preserve">600</t>
    </r>
    <r>
      <rPr>
        <sz val="10"/>
        <color rgb="FF1F2937"/>
        <rFont val="Noto Sans CJK SC"/>
        <family val="2"/>
      </rPr>
      <t xml:space="preserve">円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天</t>
    </r>
  </si>
  <si>
    <t xml:space="preserve">蛋之森林鬱金香</t>
  </si>
  <si>
    <r>
      <rPr>
        <sz val="10"/>
        <color rgb="FF1F2937"/>
        <rFont val="Noto Sans CJK SC"/>
        <family val="2"/>
      </rPr>
      <t xml:space="preserve">大草坪 </t>
    </r>
    <r>
      <rPr>
        <sz val="10"/>
        <color rgb="FF1F2937"/>
        <rFont val="Microsoft JhengHei"/>
        <family val="0"/>
        <charset val="1"/>
      </rPr>
      <t xml:space="preserve">&amp; </t>
    </r>
    <r>
      <rPr>
        <sz val="10"/>
        <color rgb="FF1F2937"/>
        <rFont val="Noto Sans CJK SC"/>
        <family val="2"/>
      </rPr>
      <t xml:space="preserve">噴水池</t>
    </r>
  </si>
  <si>
    <t xml:space="preserve">海濱小火車</t>
  </si>
  <si>
    <t xml:space="preserve">沙丘與海濱</t>
  </si>
  <si>
    <t xml:space="preserve">緩衝時間</t>
  </si>
  <si>
    <r>
      <rPr>
        <sz val="10"/>
        <color rgb="FF1F2937"/>
        <rFont val="Noto Sans CJK SC"/>
        <family val="2"/>
      </rPr>
      <t xml:space="preserve">午餐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公園內咖啡廳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</si>
  <si>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有些小店鋪可以購買熱食</t>
  </si>
  <si>
    <r>
      <rPr>
        <sz val="10"/>
        <color rgb="FF1F2937"/>
        <rFont val="Noto Sans CJK SC"/>
        <family val="2"/>
      </rPr>
      <t xml:space="preserve">常磐神社有料駐車場</t>
    </r>
    <r>
      <rPr>
        <sz val="10"/>
        <color rgb="FF1F2937"/>
        <rFont val="Microsoft JhengHei"/>
        <family val="0"/>
        <charset val="1"/>
      </rPr>
      <t xml:space="preserve">(500</t>
    </r>
    <r>
      <rPr>
        <sz val="10"/>
        <color rgb="FF1F2937"/>
        <rFont val="Noto Sans CJK SC"/>
        <family val="2"/>
      </rPr>
      <t xml:space="preserve">円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次</t>
    </r>
    <r>
      <rPr>
        <sz val="10"/>
        <color rgb="FF1F2937"/>
        <rFont val="Microsoft JhengHei"/>
        <family val="0"/>
        <charset val="1"/>
      </rPr>
      <t xml:space="preserve">)/</t>
    </r>
    <r>
      <rPr>
        <sz val="10"/>
        <color rgb="FF1F2937"/>
        <rFont val="Noto Sans CJK SC"/>
        <family val="2"/>
      </rPr>
      <t xml:space="preserve">偕楽園下駐車場</t>
    </r>
    <r>
      <rPr>
        <sz val="10"/>
        <color rgb="FF1F2937"/>
        <rFont val="Microsoft JhengHei"/>
        <family val="0"/>
        <charset val="1"/>
      </rPr>
      <t xml:space="preserve">(500</t>
    </r>
    <r>
      <rPr>
        <sz val="10"/>
        <color rgb="FF1F2937"/>
        <rFont val="Noto Sans CJK SC"/>
        <family val="2"/>
      </rPr>
      <t xml:space="preserve">円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次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</si>
  <si>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走路</t>
  </si>
  <si>
    <r>
      <rPr>
        <sz val="10"/>
        <color rgb="FF1F2937"/>
        <rFont val="Noto Sans CJK SC"/>
        <family val="2"/>
      </rPr>
      <t xml:space="preserve">入園費 </t>
    </r>
    <r>
      <rPr>
        <sz val="10"/>
        <color rgb="FF1F2937"/>
        <rFont val="Microsoft JhengHei"/>
        <family val="0"/>
        <charset val="1"/>
      </rPr>
      <t xml:space="preserve">320</t>
    </r>
    <r>
      <rPr>
        <sz val="10"/>
        <color rgb="FF1F2937"/>
        <rFont val="Noto Sans CJK SC"/>
        <family val="2"/>
      </rPr>
      <t xml:space="preserve">円 </t>
    </r>
    <r>
      <rPr>
        <sz val="10"/>
        <color rgb="FF1F2937"/>
        <rFont val="Microsoft JhengHei"/>
        <family val="0"/>
        <charset val="1"/>
      </rPr>
      <t xml:space="preserve">&amp; </t>
    </r>
    <r>
      <rPr>
        <sz val="10"/>
        <color rgb="FF1F2937"/>
        <rFont val="Noto Sans CJK SC"/>
        <family val="2"/>
      </rPr>
      <t xml:space="preserve">好文亭入場費 </t>
    </r>
    <r>
      <rPr>
        <sz val="10"/>
        <color rgb="FF1F2937"/>
        <rFont val="Microsoft JhengHei"/>
        <family val="0"/>
        <charset val="1"/>
      </rPr>
      <t xml:space="preserve">230</t>
    </r>
    <r>
      <rPr>
        <sz val="10"/>
        <color rgb="FF1F2937"/>
        <rFont val="Noto Sans CJK SC"/>
        <family val="2"/>
      </rPr>
      <t xml:space="preserve">円</t>
    </r>
  </si>
  <si>
    <r>
      <rPr>
        <sz val="10"/>
        <color rgb="FF1F2937"/>
        <rFont val="Noto Sans CJK SC"/>
        <family val="2"/>
      </rPr>
      <t xml:space="preserve">水戶市地理高點、去</t>
    </r>
    <r>
      <rPr>
        <sz val="10"/>
        <color rgb="FF1F2937"/>
        <rFont val="Microsoft JhengHei"/>
        <family val="0"/>
        <charset val="1"/>
      </rPr>
      <t xml:space="preserve">3F</t>
    </r>
    <r>
      <rPr>
        <sz val="10"/>
        <color rgb="FF1F2937"/>
        <rFont val="Noto Sans CJK SC"/>
        <family val="2"/>
      </rPr>
      <t xml:space="preserve">拍照</t>
    </r>
  </si>
  <si>
    <t xml:space="preserve">偕樂園好文亭</t>
  </si>
  <si>
    <r>
      <rPr>
        <sz val="10"/>
        <color rgb="FF1F2937"/>
        <rFont val="Microsoft JhengHei"/>
        <family val="0"/>
        <charset val="1"/>
      </rPr>
      <t xml:space="preserve">17:00</t>
    </r>
    <r>
      <rPr>
        <sz val="10"/>
        <color rgb="FF1F2937"/>
        <rFont val="Noto Sans CJK SC"/>
        <family val="2"/>
      </rPr>
      <t xml:space="preserve">關</t>
    </r>
  </si>
  <si>
    <t xml:space="preserve">賞庭園風光、霧島杜鵑、竹林</t>
  </si>
  <si>
    <t xml:space="preserve">偕樂園主園</t>
  </si>
  <si>
    <r>
      <rPr>
        <sz val="10"/>
        <color rgb="FF1F2937"/>
        <rFont val="Microsoft JhengHei"/>
        <family val="0"/>
        <charset val="1"/>
      </rPr>
      <t xml:space="preserve">19:00</t>
    </r>
    <r>
      <rPr>
        <sz val="10"/>
        <color rgb="FF1F2937"/>
        <rFont val="Noto Sans CJK SC"/>
        <family val="2"/>
      </rPr>
      <t xml:space="preserve">關</t>
    </r>
  </si>
  <si>
    <t xml:space="preserve">走行人連通道從偕樂園到千波湖</t>
  </si>
  <si>
    <t xml:space="preserve">賞湖畔風光與櫻花、遠看水戶藝術館</t>
  </si>
  <si>
    <t xml:space="preserve">千波湖</t>
  </si>
  <si>
    <r>
      <rPr>
        <sz val="10"/>
        <color rgb="FF1F2937"/>
        <rFont val="Noto Sans CJK SC"/>
        <family val="2"/>
      </rPr>
      <t xml:space="preserve">好文</t>
    </r>
    <r>
      <rPr>
        <sz val="10"/>
        <color rgb="FF1F2937"/>
        <rFont val="Microsoft JhengHei"/>
        <family val="0"/>
        <charset val="1"/>
      </rPr>
      <t xml:space="preserve">Café</t>
    </r>
    <r>
      <rPr>
        <sz val="10"/>
        <color rgb="FF1F2937"/>
        <rFont val="Noto Sans CJK SC"/>
        <family val="2"/>
      </rPr>
      <t xml:space="preserve">不一定要去</t>
    </r>
  </si>
  <si>
    <t xml:space="preserve">走行人連通道從千波湖到偕樂園</t>
  </si>
  <si>
    <r>
      <rPr>
        <sz val="10"/>
        <color rgb="FF1F2937"/>
        <rFont val="Noto Sans CJK SC"/>
        <family val="2"/>
      </rPr>
      <t xml:space="preserve">水戸市五軒町 地下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立体 駐車場 </t>
    </r>
    <r>
      <rPr>
        <sz val="10"/>
        <color rgb="FF1F2937"/>
        <rFont val="Microsoft JhengHei"/>
        <family val="0"/>
        <charset val="1"/>
      </rPr>
      <t xml:space="preserve">(30</t>
    </r>
    <r>
      <rPr>
        <sz val="10"/>
        <color rgb="FF1F2937"/>
        <rFont val="Noto Sans CJK SC"/>
        <family val="2"/>
      </rPr>
      <t xml:space="preserve">分鐘內免費，</t>
    </r>
    <r>
      <rPr>
        <sz val="10"/>
        <color rgb="FF1F2937"/>
        <rFont val="Microsoft JhengHei"/>
        <family val="0"/>
        <charset val="1"/>
      </rPr>
      <t xml:space="preserve">100</t>
    </r>
    <r>
      <rPr>
        <sz val="10"/>
        <color rgb="FF1F2937"/>
        <rFont val="Noto Sans CJK SC"/>
        <family val="2"/>
      </rPr>
      <t xml:space="preserve">円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半小時</t>
    </r>
    <r>
      <rPr>
        <sz val="10"/>
        <color rgb="FF1F2937"/>
        <rFont val="Microsoft JhengHei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</si>
  <si>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從外面拍照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日落</t>
    </r>
    <r>
      <rPr>
        <sz val="10"/>
        <color rgb="FF1F2937"/>
        <rFont val="Microsoft JhengHei"/>
        <family val="0"/>
        <charset val="1"/>
      </rPr>
      <t xml:space="preserve">18:18)</t>
    </r>
  </si>
  <si>
    <t xml:space="preserve">水戶藝術館</t>
  </si>
  <si>
    <r>
      <rPr>
        <sz val="10"/>
        <color rgb="FF1F2937"/>
        <rFont val="Noto Sans CJK SC"/>
        <family val="2"/>
      </rPr>
      <t xml:space="preserve">晚餐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鮟鱇魚火鍋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</si>
  <si>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山翠</t>
  </si>
  <si>
    <t xml:space="preserve">已事前預約</t>
  </si>
  <si>
    <r>
      <rPr>
        <sz val="10"/>
        <color rgb="FF1F2937"/>
        <rFont val="Noto Sans CJK SC"/>
        <family val="2"/>
      </rPr>
      <t xml:space="preserve">同地點，</t>
    </r>
    <r>
      <rPr>
        <sz val="10"/>
        <color rgb="FF1F2937"/>
        <rFont val="Microsoft JhengHei"/>
        <family val="0"/>
        <charset val="1"/>
      </rPr>
      <t xml:space="preserve">4</t>
    </r>
    <r>
      <rPr>
        <sz val="10"/>
        <color rgb="FF1F2937"/>
        <rFont val="Noto Sans CJK SC"/>
        <family val="2"/>
      </rPr>
      <t xml:space="preserve">人房，有溫泉</t>
    </r>
  </si>
  <si>
    <t xml:space="preserve">2026/04/21</t>
  </si>
  <si>
    <t xml:space="preserve">二</t>
  </si>
  <si>
    <t xml:space="preserve">大洗公園 駐車場</t>
  </si>
  <si>
    <r>
      <rPr>
        <sz val="10"/>
        <color rgb="FF1F2937"/>
        <rFont val="Noto Sans CJK SC"/>
        <family val="2"/>
      </rPr>
      <t xml:space="preserve">觀賞日出 </t>
    </r>
    <r>
      <rPr>
        <sz val="10"/>
        <color rgb="FF1F2937"/>
        <rFont val="Microsoft JhengHei"/>
        <family val="0"/>
        <charset val="1"/>
      </rPr>
      <t xml:space="preserve">(04:57)</t>
    </r>
  </si>
  <si>
    <t xml:space="preserve">神磯の舞台</t>
  </si>
  <si>
    <t xml:space="preserve">市場門口停車場</t>
  </si>
  <si>
    <r>
      <rPr>
        <sz val="10"/>
        <color rgb="FF1F2937"/>
        <rFont val="Noto Sans CJK SC"/>
        <family val="2"/>
      </rPr>
      <t xml:space="preserve">早餐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海鮮蓋飯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</si>
  <si>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大洗海鮮市場／海鮮蓋飯亭</t>
  </si>
  <si>
    <t xml:space="preserve">笠間稲荷神社駐車場</t>
  </si>
  <si>
    <t xml:space="preserve">欣賞精細木雕（麒麟、龍）</t>
  </si>
  <si>
    <t xml:space="preserve">笠間稻荷神社</t>
  </si>
  <si>
    <t xml:space="preserve">看紫藤</t>
  </si>
  <si>
    <t xml:space="preserve">八重の藤・大藤</t>
  </si>
  <si>
    <r>
      <rPr>
        <sz val="10"/>
        <color rgb="FF1F2937"/>
        <rFont val="Noto Sans CJK SC"/>
        <family val="2"/>
      </rPr>
      <t xml:space="preserve">吃核桃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蕎麥麵豆皮壽司</t>
    </r>
  </si>
  <si>
    <r>
      <rPr>
        <sz val="10"/>
        <color rgb="FF1F2937"/>
        <rFont val="Noto Sans CJK SC"/>
        <family val="2"/>
      </rPr>
      <t xml:space="preserve">二木胡桃米稻荷壽司 </t>
    </r>
    <r>
      <rPr>
        <sz val="10"/>
        <color rgb="FF1F2937"/>
        <rFont val="Microsoft JhengHei"/>
        <family val="0"/>
        <charset val="1"/>
      </rPr>
      <t xml:space="preserve">(11:00</t>
    </r>
    <r>
      <rPr>
        <sz val="10"/>
        <color rgb="FF1F2937"/>
        <rFont val="Noto Sans CJK SC"/>
        <family val="2"/>
      </rPr>
      <t xml:space="preserve">開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</si>
  <si>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午餐一部分</t>
  </si>
  <si>
    <t xml:space="preserve">買胡桃饅頭、和菓子</t>
  </si>
  <si>
    <t xml:space="preserve">胡桃饅頭 吉田屋製果、松島製菓</t>
  </si>
  <si>
    <t xml:space="preserve">笠間つつじ公園の駐車場</t>
  </si>
  <si>
    <t xml:space="preserve">賞整片山丘的杜鵑花</t>
  </si>
  <si>
    <t xml:space="preserve">笠間杜鵑花公園</t>
  </si>
  <si>
    <r>
      <rPr>
        <sz val="10"/>
        <color rgb="FF1F2937"/>
        <rFont val="Noto Sans CJK SC"/>
        <family val="2"/>
      </rPr>
      <t xml:space="preserve">杜鵑花季入場費</t>
    </r>
    <r>
      <rPr>
        <sz val="10"/>
        <color rgb="FF1F2937"/>
        <rFont val="Microsoft JhengHei"/>
        <family val="0"/>
        <charset val="1"/>
      </rPr>
      <t xml:space="preserve">500</t>
    </r>
    <r>
      <rPr>
        <sz val="10"/>
        <color rgb="FF1F2937"/>
        <rFont val="Noto Sans CJK SC"/>
        <family val="2"/>
      </rPr>
      <t xml:space="preserve">円</t>
    </r>
  </si>
  <si>
    <r>
      <rPr>
        <sz val="10"/>
        <color rgb="FF1F2937"/>
        <rFont val="Noto Sans CJK SC"/>
        <family val="2"/>
      </rPr>
      <t xml:space="preserve">店門口或第</t>
    </r>
    <r>
      <rPr>
        <sz val="10"/>
        <color rgb="FF1F2937"/>
        <rFont val="Microsoft JhengHei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駐車場</t>
    </r>
  </si>
  <si>
    <t xml:space="preserve">買豆乳甜甜圈、豆腐霜淇淋</t>
  </si>
  <si>
    <t xml:space="preserve">佐白山のとうふ屋</t>
  </si>
  <si>
    <t xml:space="preserve">外帶吃、準備隔天早餐</t>
  </si>
  <si>
    <r>
      <rPr>
        <sz val="10"/>
        <color rgb="FF1F2937"/>
        <rFont val="Noto Sans CJK SC"/>
        <family val="2"/>
      </rPr>
      <t xml:space="preserve">笠間市営笠間駅北口駐車場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半小時免費、</t>
    </r>
    <r>
      <rPr>
        <sz val="10"/>
        <color rgb="FF1F2937"/>
        <rFont val="Microsoft JhengHei"/>
        <family val="0"/>
        <charset val="1"/>
      </rPr>
      <t xml:space="preserve">100</t>
    </r>
    <r>
      <rPr>
        <sz val="10"/>
        <color rgb="FF1F2937"/>
        <rFont val="Noto Sans CJK SC"/>
        <family val="2"/>
      </rPr>
      <t xml:space="preserve">円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小時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</si>
  <si>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買栗子蒙布朗、栗子製品</t>
  </si>
  <si>
    <t xml:space="preserve">洋風笠間菓子</t>
  </si>
  <si>
    <t xml:space="preserve">外帶吃</t>
  </si>
  <si>
    <t xml:space="preserve">看芝櫻</t>
  </si>
  <si>
    <t xml:space="preserve">市貝町芝櫻公園</t>
  </si>
  <si>
    <r>
      <rPr>
        <sz val="10"/>
        <color rgb="FF1F2937"/>
        <rFont val="Noto Sans CJK SC"/>
        <family val="2"/>
      </rPr>
      <t xml:space="preserve">入場費</t>
    </r>
    <r>
      <rPr>
        <sz val="10"/>
        <color rgb="FF1F2937"/>
        <rFont val="Microsoft JhengHei"/>
        <family val="0"/>
        <charset val="1"/>
      </rPr>
      <t xml:space="preserve">500</t>
    </r>
    <r>
      <rPr>
        <sz val="10"/>
        <color rgb="FF1F2937"/>
        <rFont val="Noto Sans CJK SC"/>
        <family val="2"/>
      </rPr>
      <t xml:space="preserve">円</t>
    </r>
  </si>
  <si>
    <t xml:space="preserve">日光市営上鉢石駐車場</t>
  </si>
  <si>
    <t xml:space="preserve">拍照</t>
  </si>
  <si>
    <t xml:space="preserve">神橋</t>
  </si>
  <si>
    <t xml:space="preserve">Dragon Inn Nikko</t>
  </si>
  <si>
    <t xml:space="preserve">停門口</t>
  </si>
  <si>
    <r>
      <rPr>
        <sz val="10"/>
        <color rgb="FF1F2937"/>
        <rFont val="Noto Sans CJK SC"/>
        <family val="2"/>
      </rPr>
      <t xml:space="preserve">晚餐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日式定食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</si>
  <si>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日光けんちん汁 古はし</t>
  </si>
  <si>
    <t xml:space="preserve">日光市區晚上完全沒東西</t>
  </si>
  <si>
    <t xml:space="preserve">2026/04/22</t>
  </si>
  <si>
    <t xml:space="preserve">三</t>
  </si>
  <si>
    <r>
      <rPr>
        <sz val="10"/>
        <color rgb="FF1F2937"/>
        <rFont val="Noto Sans CJK SC"/>
        <family val="2"/>
      </rPr>
      <t xml:space="preserve">早餐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吃豆乳甜甜圈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</si>
  <si>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看山景</t>
  </si>
  <si>
    <t xml:space="preserve">黒髪平展望台</t>
  </si>
  <si>
    <t xml:space="preserve">看男體山與中禪寺湖</t>
  </si>
  <si>
    <t xml:space="preserve">明智平</t>
  </si>
  <si>
    <t xml:space="preserve">纜車整修中</t>
  </si>
  <si>
    <r>
      <rPr>
        <sz val="10"/>
        <color rgb="FF1F2937"/>
        <rFont val="Noto Sans CJK SC"/>
        <family val="2"/>
      </rPr>
      <t xml:space="preserve">華嚴瀑布第二駐車場 </t>
    </r>
    <r>
      <rPr>
        <sz val="10"/>
        <color rgb="FF1F2937"/>
        <rFont val="Microsoft JhengHei"/>
        <family val="0"/>
        <charset val="1"/>
      </rPr>
      <t xml:space="preserve">(500</t>
    </r>
    <r>
      <rPr>
        <sz val="10"/>
        <color rgb="FF1F2937"/>
        <rFont val="Noto Sans CJK SC"/>
        <family val="2"/>
      </rPr>
      <t xml:space="preserve">円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次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</si>
  <si>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從下而上看</t>
  </si>
  <si>
    <t xml:space="preserve">華嚴瀑布 下展望台</t>
  </si>
  <si>
    <r>
      <rPr>
        <sz val="10"/>
        <color rgb="FF1F2937"/>
        <rFont val="Noto Sans CJK SC"/>
        <family val="2"/>
      </rPr>
      <t xml:space="preserve">搭電梯有料 </t>
    </r>
    <r>
      <rPr>
        <sz val="10"/>
        <color rgb="FF1F2937"/>
        <rFont val="Microsoft JhengHei"/>
        <family val="0"/>
        <charset val="1"/>
      </rPr>
      <t xml:space="preserve">(600</t>
    </r>
    <r>
      <rPr>
        <sz val="10"/>
        <color rgb="FF1F2937"/>
        <rFont val="Noto Sans CJK SC"/>
        <family val="2"/>
      </rPr>
      <t xml:space="preserve">円</t>
    </r>
    <r>
      <rPr>
        <sz val="10"/>
        <color rgb="FF1F2937"/>
        <rFont val="Microsoft JhengHei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、共三層</t>
    </r>
  </si>
  <si>
    <t xml:space="preserve">從上而下看</t>
  </si>
  <si>
    <t xml:space="preserve">華嚴瀑布 無料展望台</t>
  </si>
  <si>
    <t xml:space="preserve">湖與鳥居</t>
  </si>
  <si>
    <t xml:space="preserve">二荒山神社 大鳥居</t>
  </si>
  <si>
    <t xml:space="preserve">含走路時間</t>
  </si>
  <si>
    <t xml:space="preserve">順路湖景</t>
  </si>
  <si>
    <t xml:space="preserve">中禪寺湖畔園地</t>
  </si>
  <si>
    <r>
      <rPr>
        <sz val="10"/>
        <color rgb="FF1F2937"/>
        <rFont val="Noto Sans CJK SC"/>
        <family val="2"/>
      </rPr>
      <t xml:space="preserve">午餐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炸豬排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</si>
  <si>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淺井精肉店</t>
  </si>
  <si>
    <r>
      <rPr>
        <sz val="10"/>
        <color rgb="FF1F2937"/>
        <rFont val="Noto Sans CJK SC"/>
        <family val="2"/>
      </rPr>
      <t xml:space="preserve">県営歌ヶ浜第一 大型駐車場 </t>
    </r>
    <r>
      <rPr>
        <sz val="10"/>
        <color rgb="FF1F2937"/>
        <rFont val="Microsoft JhengHei"/>
        <family val="0"/>
        <charset val="1"/>
      </rPr>
      <t xml:space="preserve">(500</t>
    </r>
    <r>
      <rPr>
        <sz val="10"/>
        <color rgb="FF1F2937"/>
        <rFont val="Noto Sans CJK SC"/>
        <family val="2"/>
      </rPr>
      <t xml:space="preserve">円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次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</si>
  <si>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搭中禅寺湖遊覧船</t>
  </si>
  <si>
    <t xml:space="preserve">立木観音→中禪寺→菖蒲濱→大使館</t>
  </si>
  <si>
    <r>
      <rPr>
        <sz val="10"/>
        <color rgb="FF1F2937"/>
        <rFont val="Noto Sans CJK SC"/>
        <family val="2"/>
      </rPr>
      <t xml:space="preserve">船班時間固定，每小時一班，此區間</t>
    </r>
    <r>
      <rPr>
        <sz val="10"/>
        <color rgb="FF1F2937"/>
        <rFont val="Microsoft JhengHei"/>
        <family val="0"/>
        <charset val="1"/>
      </rPr>
      <t xml:space="preserve">1600</t>
    </r>
    <r>
      <rPr>
        <sz val="10"/>
        <color rgb="FF1F2937"/>
        <rFont val="Noto Sans CJK SC"/>
        <family val="2"/>
      </rPr>
      <t xml:space="preserve">円</t>
    </r>
  </si>
  <si>
    <t xml:space="preserve">大使館公園→立木観音碼頭</t>
  </si>
  <si>
    <t xml:space="preserve">大使館別荘記念公園不能開車進</t>
  </si>
  <si>
    <t xml:space="preserve">生身觀音（腳在地上樹根內）</t>
  </si>
  <si>
    <t xml:space="preserve">日光山 中禅寺（立木観音）</t>
  </si>
  <si>
    <r>
      <rPr>
        <sz val="10"/>
        <color rgb="FF1F2937"/>
        <rFont val="Noto Sans CJK SC"/>
        <family val="2"/>
      </rPr>
      <t xml:space="preserve">拜觀券</t>
    </r>
    <r>
      <rPr>
        <sz val="10"/>
        <color rgb="FF1F2937"/>
        <rFont val="Microsoft JhengHei"/>
        <family val="0"/>
        <charset val="1"/>
      </rPr>
      <t xml:space="preserve">500</t>
    </r>
    <r>
      <rPr>
        <sz val="10"/>
        <color rgb="FF1F2937"/>
        <rFont val="Noto Sans CJK SC"/>
        <family val="2"/>
      </rPr>
      <t xml:space="preserve">円</t>
    </r>
  </si>
  <si>
    <t xml:space="preserve">觀景台停車場</t>
  </si>
  <si>
    <t xml:space="preserve">看男體山與湖</t>
  </si>
  <si>
    <t xml:space="preserve">中禪寺湖觀景台</t>
  </si>
  <si>
    <t xml:space="preserve">爬上山走下山、看男體山與湖</t>
  </si>
  <si>
    <t xml:space="preserve">半月山展望台</t>
  </si>
  <si>
    <r>
      <rPr>
        <sz val="10"/>
        <color rgb="FF1F2937"/>
        <rFont val="Noto Sans CJK SC"/>
        <family val="2"/>
      </rPr>
      <t xml:space="preserve">海拔</t>
    </r>
    <r>
      <rPr>
        <sz val="10"/>
        <color rgb="FF1F2937"/>
        <rFont val="Microsoft JhengHei"/>
        <family val="0"/>
        <charset val="1"/>
      </rPr>
      <t xml:space="preserve">1500</t>
    </r>
    <r>
      <rPr>
        <sz val="10"/>
        <color rgb="FF1F2937"/>
        <rFont val="Noto Sans CJK SC"/>
        <family val="2"/>
      </rPr>
      <t xml:space="preserve">公尺</t>
    </r>
  </si>
  <si>
    <t xml:space="preserve">竜頭滝駐車場</t>
  </si>
  <si>
    <t xml:space="preserve">龍頭瀑布</t>
  </si>
  <si>
    <r>
      <rPr>
        <sz val="10"/>
        <color rgb="FF1F2937"/>
        <rFont val="Noto Sans CJK SC"/>
        <family val="2"/>
      </rPr>
      <t xml:space="preserve">飯店門口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前門</t>
    </r>
    <r>
      <rPr>
        <sz val="10"/>
        <color rgb="FF1F2937"/>
        <rFont val="Microsoft JhengHei"/>
        <family val="0"/>
        <charset val="1"/>
      </rPr>
      <t xml:space="preserve">3 &amp; </t>
    </r>
    <r>
      <rPr>
        <sz val="10"/>
        <color rgb="FF1F2937"/>
        <rFont val="Noto Sans CJK SC"/>
        <family val="2"/>
      </rPr>
      <t xml:space="preserve">後門</t>
    </r>
    <r>
      <rPr>
        <sz val="10"/>
        <color rgb="FF1F2937"/>
        <rFont val="Microsoft JhengHei"/>
        <family val="0"/>
        <charset val="1"/>
      </rPr>
      <t xml:space="preserve">4)</t>
    </r>
  </si>
  <si>
    <r>
      <rPr>
        <sz val="10"/>
        <color rgb="FF1F2937"/>
        <rFont val="Noto Sans CJK SC"/>
        <family val="2"/>
      </rPr>
      <t xml:space="preserve">旅籠 </t>
    </r>
    <r>
      <rPr>
        <sz val="10"/>
        <color rgb="FF1F2937"/>
        <rFont val="Microsoft JhengHei"/>
        <family val="0"/>
        <charset val="1"/>
      </rPr>
      <t xml:space="preserve">Nagomi</t>
    </r>
  </si>
  <si>
    <t xml:space="preserve">步行去餐廳</t>
  </si>
  <si>
    <t xml:space="preserve">Pension Friendly</t>
  </si>
  <si>
    <t xml:space="preserve">步行回飯店開車</t>
  </si>
  <si>
    <t xml:space="preserve">三本松園地駐車場</t>
  </si>
  <si>
    <t xml:space="preserve">滿天星星</t>
  </si>
  <si>
    <t xml:space="preserve">戦場ヶ原展望台</t>
  </si>
  <si>
    <t xml:space="preserve">如果有熊害，改成在飯店附近</t>
  </si>
  <si>
    <t xml:space="preserve">泡湯、休息</t>
  </si>
  <si>
    <t xml:space="preserve">奧日光沒有便利商店</t>
  </si>
  <si>
    <t xml:space="preserve">2026/04/23</t>
  </si>
  <si>
    <t xml:space="preserve">四</t>
  </si>
  <si>
    <r>
      <rPr>
        <sz val="10"/>
        <color rgb="FF1F2937"/>
        <rFont val="Noto Sans CJK SC"/>
        <family val="2"/>
      </rPr>
      <t xml:space="preserve">飯店早餐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超級市場</t>
    </r>
  </si>
  <si>
    <r>
      <rPr>
        <sz val="10"/>
        <color rgb="FF1F2937"/>
        <rFont val="Noto Sans CJK SC"/>
        <family val="2"/>
      </rPr>
      <t xml:space="preserve">日光二荒山神社 本社駐車場 </t>
    </r>
    <r>
      <rPr>
        <sz val="10"/>
        <color rgb="FF1F2937"/>
        <rFont val="Microsoft JhengHei"/>
        <family val="0"/>
        <charset val="1"/>
      </rPr>
      <t xml:space="preserve">700</t>
    </r>
    <r>
      <rPr>
        <sz val="10"/>
        <color rgb="FF1F2937"/>
        <rFont val="Noto Sans CJK SC"/>
        <family val="2"/>
      </rPr>
      <t xml:space="preserve">円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次</t>
    </r>
  </si>
  <si>
    <t xml:space="preserve">進去參觀二天門、皇嘉門、拜殿</t>
  </si>
  <si>
    <r>
      <rPr>
        <sz val="10"/>
        <color rgb="FF1F2937"/>
        <rFont val="Noto Sans CJK SC"/>
        <family val="2"/>
      </rPr>
      <t xml:space="preserve">日光山輪王寺大猷院 </t>
    </r>
    <r>
      <rPr>
        <sz val="10"/>
        <color rgb="FF1F2937"/>
        <rFont val="Microsoft JhengHei"/>
        <family val="0"/>
        <charset val="1"/>
      </rPr>
      <t xml:space="preserve">08:00-17:00</t>
    </r>
  </si>
  <si>
    <r>
      <rPr>
        <sz val="10"/>
        <color rgb="FF1F2937"/>
        <rFont val="Noto Sans CJK SC"/>
        <family val="2"/>
      </rPr>
      <t xml:space="preserve">輪王寺套票（三佛堂</t>
    </r>
    <r>
      <rPr>
        <sz val="10"/>
        <color rgb="FF1F2937"/>
        <rFont val="Microsoft JhengHei"/>
        <family val="0"/>
        <charset val="1"/>
      </rPr>
      <t xml:space="preserve">&amp;</t>
    </r>
    <r>
      <rPr>
        <sz val="10"/>
        <color rgb="FF1F2937"/>
        <rFont val="Noto Sans CJK SC"/>
        <family val="2"/>
      </rPr>
      <t xml:space="preserve">大猷院）</t>
    </r>
    <r>
      <rPr>
        <sz val="10"/>
        <color rgb="FF1F2937"/>
        <rFont val="Microsoft JhengHei"/>
        <family val="0"/>
        <charset val="1"/>
      </rPr>
      <t xml:space="preserve">900</t>
    </r>
    <r>
      <rPr>
        <sz val="10"/>
        <color rgb="FF1F2937"/>
        <rFont val="Noto Sans CJK SC"/>
        <family val="2"/>
      </rPr>
      <t xml:space="preserve">円</t>
    </r>
  </si>
  <si>
    <t xml:space="preserve">結緣、看御神木</t>
  </si>
  <si>
    <r>
      <rPr>
        <sz val="10"/>
        <color rgb="FF1F2937"/>
        <rFont val="Noto Sans CJK SC"/>
        <family val="2"/>
      </rPr>
      <t xml:space="preserve">日光二荒山神社 </t>
    </r>
    <r>
      <rPr>
        <sz val="10"/>
        <color rgb="FF1F2937"/>
        <rFont val="Microsoft JhengHei"/>
        <family val="0"/>
        <charset val="1"/>
      </rPr>
      <t xml:space="preserve">08:30-17:00</t>
    </r>
  </si>
  <si>
    <t xml:space="preserve">看神木不需要進入付費的「神苑」</t>
  </si>
  <si>
    <r>
      <rPr>
        <sz val="10"/>
        <color rgb="FF1F2937"/>
        <rFont val="Noto Sans CJK SC"/>
        <family val="2"/>
      </rPr>
      <t xml:space="preserve">五重塔 </t>
    </r>
    <r>
      <rPr>
        <sz val="10"/>
        <color rgb="FF1F2937"/>
        <rFont val="Microsoft JhengHei"/>
        <family val="0"/>
        <charset val="1"/>
      </rPr>
      <t xml:space="preserve">08:00-17:00</t>
    </r>
  </si>
  <si>
    <t xml:space="preserve">仔細看建築的雕刻</t>
  </si>
  <si>
    <r>
      <rPr>
        <sz val="10"/>
        <color rgb="FF1F2937"/>
        <rFont val="Noto Sans CJK SC"/>
        <family val="2"/>
      </rPr>
      <t xml:space="preserve">日光東照宮 </t>
    </r>
    <r>
      <rPr>
        <sz val="10"/>
        <color rgb="FF1F2937"/>
        <rFont val="Microsoft JhengHei"/>
        <family val="0"/>
        <charset val="1"/>
      </rPr>
      <t xml:space="preserve">09:00-17:00 &amp; </t>
    </r>
    <r>
      <rPr>
        <sz val="10"/>
        <color rgb="FF1F2937"/>
        <rFont val="Noto Sans CJK SC"/>
        <family val="2"/>
      </rPr>
      <t xml:space="preserve">奧宮（家康之墓）</t>
    </r>
  </si>
  <si>
    <r>
      <rPr>
        <sz val="10"/>
        <color rgb="FF1F2937"/>
        <rFont val="Noto Sans CJK SC"/>
        <family val="2"/>
      </rPr>
      <t xml:space="preserve">拜觀券</t>
    </r>
    <r>
      <rPr>
        <sz val="10"/>
        <color rgb="FF1F2937"/>
        <rFont val="Microsoft JhengHei"/>
        <family val="0"/>
        <charset val="1"/>
      </rPr>
      <t xml:space="preserve">1600</t>
    </r>
    <r>
      <rPr>
        <sz val="10"/>
        <color rgb="FF1F2937"/>
        <rFont val="Noto Sans CJK SC"/>
        <family val="2"/>
      </rPr>
      <t xml:space="preserve">円，陽明門、拜殿、眠貓</t>
    </r>
  </si>
  <si>
    <r>
      <rPr>
        <sz val="10"/>
        <color rgb="FF1F2937"/>
        <rFont val="Noto Sans CJK SC"/>
        <family val="2"/>
      </rPr>
      <t xml:space="preserve">觀看護摩祈願 </t>
    </r>
    <r>
      <rPr>
        <sz val="10"/>
        <color rgb="FF1F2937"/>
        <rFont val="Microsoft JhengHei"/>
        <family val="0"/>
        <charset val="1"/>
      </rPr>
      <t xml:space="preserve">11:00 </t>
    </r>
    <r>
      <rPr>
        <sz val="10"/>
        <color rgb="FF1F2937"/>
        <rFont val="Noto Sans CJK SC"/>
        <family val="2"/>
      </rPr>
      <t xml:space="preserve">場次</t>
    </r>
  </si>
  <si>
    <r>
      <rPr>
        <sz val="10"/>
        <color rgb="FF1F2937"/>
        <rFont val="Noto Sans CJK SC"/>
        <family val="2"/>
      </rPr>
      <t xml:space="preserve">大護摩堂 </t>
    </r>
    <r>
      <rPr>
        <sz val="10"/>
        <color rgb="FF1F2937"/>
        <rFont val="Microsoft JhengHei"/>
        <family val="0"/>
        <charset val="1"/>
      </rPr>
      <t xml:space="preserve">08:00-17:00</t>
    </r>
  </si>
  <si>
    <r>
      <rPr>
        <sz val="10"/>
        <color rgb="FF1F2937"/>
        <rFont val="Noto Sans CJK SC"/>
        <family val="2"/>
      </rPr>
      <t xml:space="preserve">護摩祈願開始時間</t>
    </r>
    <r>
      <rPr>
        <sz val="10"/>
        <color rgb="FF1F2937"/>
        <rFont val="Microsoft JhengHei"/>
        <family val="0"/>
        <charset val="1"/>
      </rPr>
      <t xml:space="preserve">7:30 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Microsoft JhengHei"/>
        <family val="0"/>
        <charset val="1"/>
      </rPr>
      <t xml:space="preserve">9:30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Microsoft JhengHei"/>
        <family val="0"/>
        <charset val="1"/>
      </rPr>
      <t xml:space="preserve">11:00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Microsoft JhengHei"/>
        <family val="0"/>
        <charset val="1"/>
      </rPr>
      <t xml:space="preserve">12:30</t>
    </r>
    <r>
      <rPr>
        <sz val="10"/>
        <color rgb="FF1F2937"/>
        <rFont val="Noto Sans CJK SC"/>
        <family val="2"/>
      </rPr>
      <t xml:space="preserve">、 </t>
    </r>
    <r>
      <rPr>
        <sz val="10"/>
        <color rgb="FF1F2937"/>
        <rFont val="Microsoft JhengHei"/>
        <family val="0"/>
        <charset val="1"/>
      </rPr>
      <t xml:space="preserve">14:00</t>
    </r>
  </si>
  <si>
    <t xml:space="preserve">看看三大佛</t>
  </si>
  <si>
    <r>
      <rPr>
        <sz val="10"/>
        <color rgb="FF1F2937"/>
        <rFont val="Noto Sans CJK SC"/>
        <family val="2"/>
      </rPr>
      <t xml:space="preserve">日光山輪王寺（三佛堂） </t>
    </r>
    <r>
      <rPr>
        <sz val="10"/>
        <color rgb="FF1F2937"/>
        <rFont val="Microsoft JhengHei"/>
        <family val="0"/>
        <charset val="1"/>
      </rPr>
      <t xml:space="preserve">08:00-17:00</t>
    </r>
  </si>
  <si>
    <t xml:space="preserve">走路去開車</t>
  </si>
  <si>
    <t xml:space="preserve">填飽肚子、逛日光街道</t>
  </si>
  <si>
    <r>
      <rPr>
        <sz val="10"/>
        <color rgb="FF1F2937"/>
        <rFont val="Noto Sans CJK SC"/>
        <family val="2"/>
      </rPr>
      <t xml:space="preserve">金谷飯店烘焙坊 神橋店 </t>
    </r>
    <r>
      <rPr>
        <sz val="10"/>
        <color rgb="FF1F2937"/>
        <rFont val="Microsoft JhengHei"/>
        <family val="0"/>
        <charset val="1"/>
      </rPr>
      <t xml:space="preserve">10:00-17:00</t>
    </r>
  </si>
  <si>
    <t xml:space="preserve">皇家吐司、百年咖哩麵包、起司麵包棒</t>
  </si>
  <si>
    <r>
      <rPr>
        <sz val="10"/>
        <color rgb="FF1F2937"/>
        <rFont val="Noto Sans CJK SC"/>
        <family val="2"/>
      </rPr>
      <t xml:space="preserve">やまとなでしこ </t>
    </r>
    <r>
      <rPr>
        <sz val="10"/>
        <color rgb="FF1F2937"/>
        <rFont val="Microsoft JhengHei"/>
        <family val="0"/>
        <charset val="1"/>
      </rPr>
      <t xml:space="preserve">12:00-18:00 (</t>
    </r>
    <r>
      <rPr>
        <sz val="10"/>
        <color rgb="FF1F2937"/>
        <rFont val="Noto Sans CJK SC"/>
        <family val="2"/>
      </rPr>
      <t xml:space="preserve">拉麵店</t>
    </r>
    <r>
      <rPr>
        <sz val="10"/>
        <color rgb="FF1F2937"/>
        <rFont val="Microsoft JhengHei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</si>
  <si>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餛飩豆皮控肉拉麵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招牌</t>
    </r>
    <r>
      <rPr>
        <sz val="10"/>
        <color rgb="FF1F2937"/>
        <rFont val="Microsoft JhengHei"/>
        <family val="0"/>
        <charset val="1"/>
      </rPr>
      <t xml:space="preserve">) =&gt; </t>
    </r>
    <r>
      <rPr>
        <sz val="10"/>
        <color rgb="FF1F2937"/>
        <rFont val="Noto Sans CJK SC"/>
        <family val="2"/>
      </rPr>
      <t xml:space="preserve">吃湯波卷</t>
    </r>
  </si>
  <si>
    <r>
      <rPr>
        <sz val="10"/>
        <color rgb="FF1F2937"/>
        <rFont val="Noto Sans CJK SC"/>
        <family val="2"/>
      </rPr>
      <t xml:space="preserve">日光</t>
    </r>
    <r>
      <rPr>
        <sz val="10"/>
        <color rgb="FF1F2937"/>
        <rFont val="Microsoft JhengHei"/>
        <family val="0"/>
        <charset val="1"/>
      </rPr>
      <t xml:space="preserve">Sakaeya </t>
    </r>
    <r>
      <rPr>
        <sz val="10"/>
        <color rgb="FF1F2937"/>
        <rFont val="Noto Sans CJK SC"/>
        <family val="2"/>
      </rPr>
      <t xml:space="preserve">炸湯波饅頭本舖 </t>
    </r>
    <r>
      <rPr>
        <sz val="10"/>
        <color rgb="FF1F2937"/>
        <rFont val="Microsoft JhengHei"/>
        <family val="0"/>
        <charset val="1"/>
      </rPr>
      <t xml:space="preserve">09:30-17:00</t>
    </r>
  </si>
  <si>
    <t xml:space="preserve">炸饅頭</t>
  </si>
  <si>
    <r>
      <rPr>
        <sz val="10"/>
        <color rgb="FF1F2937"/>
        <rFont val="Noto Sans CJK SC"/>
        <family val="2"/>
      </rPr>
      <t xml:space="preserve">日光布丁亭 日光本店 </t>
    </r>
    <r>
      <rPr>
        <sz val="10"/>
        <color rgb="FF1F2937"/>
        <rFont val="Microsoft JhengHei"/>
        <family val="0"/>
        <charset val="1"/>
      </rPr>
      <t xml:space="preserve">10:00-17:00</t>
    </r>
  </si>
  <si>
    <r>
      <rPr>
        <sz val="10"/>
        <color rgb="FF1F2937"/>
        <rFont val="Noto Sans CJK SC"/>
        <family val="2"/>
      </rPr>
      <t xml:space="preserve">原味布丁、布丁冰淇淋、雞蛋生布丁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限內用</t>
    </r>
    <r>
      <rPr>
        <sz val="10"/>
        <color rgb="FF1F2937"/>
        <rFont val="Microsoft JhengHei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</si>
  <si>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三福茶屋 </t>
    </r>
    <r>
      <rPr>
        <sz val="10"/>
        <color rgb="FF1F2937"/>
        <rFont val="Microsoft JhengHei"/>
        <family val="0"/>
        <charset val="1"/>
      </rPr>
      <t xml:space="preserve">10:30-16:30</t>
    </r>
  </si>
  <si>
    <t xml:space="preserve">醬油糰子</t>
  </si>
  <si>
    <r>
      <rPr>
        <sz val="10"/>
        <color rgb="FF1F2937"/>
        <rFont val="Noto Sans CJK SC"/>
        <family val="2"/>
      </rPr>
      <t xml:space="preserve">鬼平（きびら）の羊羮本舗 </t>
    </r>
    <r>
      <rPr>
        <sz val="10"/>
        <color rgb="FF1F2937"/>
        <rFont val="Microsoft JhengHei"/>
        <family val="0"/>
        <charset val="1"/>
      </rPr>
      <t xml:space="preserve">08:30-17:00</t>
    </r>
  </si>
  <si>
    <t xml:space="preserve">水羊羹、栗子羊羹</t>
  </si>
  <si>
    <r>
      <rPr>
        <sz val="10"/>
        <color rgb="FF1F2937"/>
        <rFont val="Noto Sans CJK SC"/>
        <family val="2"/>
      </rPr>
      <t xml:space="preserve">三山羊羹本舖 </t>
    </r>
    <r>
      <rPr>
        <sz val="10"/>
        <color rgb="FF1F2937"/>
        <rFont val="Microsoft JhengHei"/>
        <family val="0"/>
        <charset val="1"/>
      </rPr>
      <t xml:space="preserve">08:00-18:30</t>
    </r>
  </si>
  <si>
    <t xml:space="preserve">水羊羹</t>
  </si>
  <si>
    <t xml:space="preserve">足利花卉公園駐車場</t>
  </si>
  <si>
    <t xml:space="preserve">賞紫藤</t>
  </si>
  <si>
    <r>
      <rPr>
        <sz val="10"/>
        <color rgb="FF1F2937"/>
        <rFont val="Noto Sans CJK SC"/>
        <family val="2"/>
      </rPr>
      <t xml:space="preserve">足利花卉公園 </t>
    </r>
    <r>
      <rPr>
        <sz val="10"/>
        <color rgb="FF1F2937"/>
        <rFont val="Microsoft JhengHei"/>
        <family val="0"/>
        <charset val="1"/>
      </rPr>
      <t xml:space="preserve">08:00-20:30</t>
    </r>
  </si>
  <si>
    <r>
      <rPr>
        <sz val="10"/>
        <color rgb="FF1F2937"/>
        <rFont val="Noto Sans CJK SC"/>
        <family val="2"/>
      </rPr>
      <t xml:space="preserve">門票</t>
    </r>
    <r>
      <rPr>
        <sz val="10"/>
        <color rgb="FF1F2937"/>
        <rFont val="Microsoft JhengHei"/>
        <family val="0"/>
        <charset val="1"/>
      </rPr>
      <t xml:space="preserve">1200-2300</t>
    </r>
    <r>
      <rPr>
        <sz val="10"/>
        <color rgb="FF1F2937"/>
        <rFont val="Noto Sans CJK SC"/>
        <family val="2"/>
      </rPr>
      <t xml:space="preserve">円、</t>
    </r>
    <r>
      <rPr>
        <sz val="10"/>
        <color rgb="FF1F2937"/>
        <rFont val="Microsoft JhengHei"/>
        <family val="0"/>
        <charset val="1"/>
      </rPr>
      <t xml:space="preserve">17:30</t>
    </r>
    <r>
      <rPr>
        <sz val="10"/>
        <color rgb="FF1F2937"/>
        <rFont val="Noto Sans CJK SC"/>
        <family val="2"/>
      </rPr>
      <t xml:space="preserve">點燈</t>
    </r>
  </si>
  <si>
    <t xml:space="preserve">織姫公園駐車場</t>
  </si>
  <si>
    <t xml:space="preserve">看一眼夜景</t>
  </si>
  <si>
    <t xml:space="preserve">織姫公園展望台</t>
  </si>
  <si>
    <t xml:space="preserve">店家停車位</t>
  </si>
  <si>
    <r>
      <rPr>
        <sz val="10"/>
        <color rgb="FF1F2937"/>
        <rFont val="Noto Sans CJK SC"/>
        <family val="2"/>
      </rPr>
      <t xml:space="preserve">晚餐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青竹手工揉麵</t>
    </r>
    <r>
      <rPr>
        <sz val="10"/>
        <color rgb="FF1F2937"/>
        <rFont val="Microsoft JhengHei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</si>
  <si>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青竹手打ラーメン 義信 </t>
    </r>
    <r>
      <rPr>
        <sz val="10"/>
        <color rgb="FF1F2937"/>
        <rFont val="Microsoft JhengHei"/>
        <family val="0"/>
        <charset val="1"/>
      </rPr>
      <t xml:space="preserve">17:30-21:00</t>
    </r>
  </si>
  <si>
    <t xml:space="preserve">飯店停車位</t>
  </si>
  <si>
    <r>
      <rPr>
        <sz val="10"/>
        <color rgb="FF1F2937"/>
        <rFont val="Microsoft JhengHei"/>
        <family val="0"/>
        <charset val="1"/>
      </rPr>
      <t xml:space="preserve">HOTEL R9 The Yard </t>
    </r>
    <r>
      <rPr>
        <sz val="10"/>
        <color rgb="FF1F2937"/>
        <rFont val="Noto Sans CJK SC"/>
        <family val="2"/>
      </rPr>
      <t xml:space="preserve">足利福富</t>
    </r>
  </si>
  <si>
    <t xml:space="preserve">2026/04/24</t>
  </si>
  <si>
    <t xml:space="preserve">五</t>
  </si>
  <si>
    <r>
      <rPr>
        <sz val="10"/>
        <color rgb="FF1F2937"/>
        <rFont val="Noto Sans CJK SC"/>
        <family val="2"/>
      </rPr>
      <t xml:space="preserve">早餐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飯店免費冷凍餐點微波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</si>
  <si>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織姫観光駐車場</t>
  </si>
  <si>
    <t xml:space="preserve">爬上爬下、拍七色坂</t>
  </si>
  <si>
    <r>
      <rPr>
        <sz val="10"/>
        <color rgb="FF1F2937"/>
        <rFont val="Noto Sans CJK SC"/>
        <family val="2"/>
      </rPr>
      <t xml:space="preserve">七色の鳥居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縁結び坂</t>
    </r>
    <r>
      <rPr>
        <sz val="10"/>
        <color rgb="FF1F2937"/>
        <rFont val="Microsoft JhengHei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</si>
  <si>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佐野厄除け大師無料駐車場 </t>
    </r>
    <r>
      <rPr>
        <sz val="10"/>
        <color rgb="FF1F2937"/>
        <rFont val="Microsoft JhengHei"/>
        <family val="0"/>
        <charset val="1"/>
      </rPr>
      <t xml:space="preserve">No.18</t>
    </r>
  </si>
  <si>
    <r>
      <rPr>
        <sz val="10"/>
        <color rgb="FF1F2937"/>
        <rFont val="Noto Sans CJK SC"/>
        <family val="2"/>
      </rPr>
      <t xml:space="preserve">破除厄運 </t>
    </r>
    <r>
      <rPr>
        <sz val="10"/>
        <color rgb="FF1F2937"/>
        <rFont val="Microsoft JhengHei"/>
        <family val="0"/>
        <charset val="1"/>
      </rPr>
      <t xml:space="preserve">&amp; </t>
    </r>
    <r>
      <rPr>
        <sz val="10"/>
        <color rgb="FF1F2937"/>
        <rFont val="Noto Sans CJK SC"/>
        <family val="2"/>
      </rPr>
      <t xml:space="preserve">看小東照宮</t>
    </r>
  </si>
  <si>
    <t xml:space="preserve">佐野厄除大師（元三大師）</t>
  </si>
  <si>
    <t xml:space="preserve">本堂與金色裝飾、日本最大的梵鐘、買御守</t>
  </si>
  <si>
    <t xml:space="preserve">賞花、走杜鵑花隧道</t>
  </si>
  <si>
    <t xml:space="preserve">館林市杜鵑花岡公園</t>
  </si>
  <si>
    <r>
      <rPr>
        <sz val="10"/>
        <color rgb="FF1F2937"/>
        <rFont val="Noto Sans CJK SC"/>
        <family val="2"/>
      </rPr>
      <t xml:space="preserve">盛花期 </t>
    </r>
    <r>
      <rPr>
        <sz val="10"/>
        <color rgb="FF1F2937"/>
        <rFont val="Microsoft JhengHei"/>
        <family val="0"/>
        <charset val="1"/>
      </rPr>
      <t xml:space="preserve">630</t>
    </r>
    <r>
      <rPr>
        <sz val="10"/>
        <color rgb="FF1F2937"/>
        <rFont val="Noto Sans CJK SC"/>
        <family val="2"/>
      </rPr>
      <t xml:space="preserve">円，初花期和盛花期後 </t>
    </r>
    <r>
      <rPr>
        <sz val="10"/>
        <color rgb="FF1F2937"/>
        <rFont val="Microsoft JhengHei"/>
        <family val="0"/>
        <charset val="1"/>
      </rPr>
      <t xml:space="preserve">310</t>
    </r>
    <r>
      <rPr>
        <sz val="10"/>
        <color rgb="FF1F2937"/>
        <rFont val="Noto Sans CJK SC"/>
        <family val="2"/>
      </rPr>
      <t xml:space="preserve">円</t>
    </r>
  </si>
  <si>
    <r>
      <rPr>
        <sz val="10"/>
        <color rgb="FF1F2937"/>
        <rFont val="Noto Sans CJK SC"/>
        <family val="2"/>
      </rPr>
      <t xml:space="preserve">午餐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超寬烏龍麵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</si>
  <si>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花山烏龍麵 本店 花山うどん 本店</t>
  </si>
  <si>
    <r>
      <rPr>
        <sz val="10"/>
        <color rgb="FF1F2937"/>
        <rFont val="Microsoft JhengHei"/>
        <family val="0"/>
        <charset val="1"/>
      </rPr>
      <t xml:space="preserve">5</t>
    </r>
    <r>
      <rPr>
        <sz val="10"/>
        <color rgb="FF1F2937"/>
        <rFont val="Noto Sans CJK SC"/>
        <family val="2"/>
      </rPr>
      <t xml:space="preserve">公分超寬烏龍麵</t>
    </r>
  </si>
  <si>
    <r>
      <rPr>
        <sz val="10"/>
        <color rgb="FF1F2937"/>
        <rFont val="Microsoft JhengHei"/>
        <family val="0"/>
        <charset val="1"/>
      </rPr>
      <t xml:space="preserve">ENEOS EneJet </t>
    </r>
    <r>
      <rPr>
        <sz val="10"/>
        <color rgb="FF1F2937"/>
        <rFont val="Noto Sans CJK SC"/>
        <family val="2"/>
      </rPr>
      <t xml:space="preserve">成田</t>
    </r>
    <r>
      <rPr>
        <sz val="10"/>
        <color rgb="FF1F2937"/>
        <rFont val="Microsoft JhengHei"/>
        <family val="0"/>
        <charset val="1"/>
      </rPr>
      <t xml:space="preserve">SS</t>
    </r>
    <r>
      <rPr>
        <sz val="10"/>
        <color rgb="FF1F2937"/>
        <rFont val="Noto Sans CJK SC"/>
        <family val="2"/>
      </rPr>
      <t xml:space="preserve">／川久石油</t>
    </r>
  </si>
  <si>
    <r>
      <rPr>
        <sz val="10"/>
        <color rgb="FF1F2937"/>
        <rFont val="Microsoft JhengHei"/>
        <family val="0"/>
        <charset val="1"/>
      </rPr>
      <t xml:space="preserve">Comfort Hotel </t>
    </r>
    <r>
      <rPr>
        <sz val="10"/>
        <color rgb="FF1F2937"/>
        <rFont val="Noto Sans CJK SC"/>
        <family val="2"/>
      </rPr>
      <t xml:space="preserve">成田</t>
    </r>
  </si>
  <si>
    <t xml:space="preserve">開車丟人在飯店門前</t>
  </si>
  <si>
    <t xml:space="preserve">還車</t>
  </si>
  <si>
    <r>
      <rPr>
        <sz val="10"/>
        <color rgb="FF1F2937"/>
        <rFont val="Microsoft JhengHei"/>
        <family val="0"/>
        <charset val="1"/>
      </rPr>
      <t xml:space="preserve">TOYOTA</t>
    </r>
    <r>
      <rPr>
        <sz val="10"/>
        <color rgb="FF1F2937"/>
        <rFont val="Noto Sans CJK SC"/>
        <family val="2"/>
      </rPr>
      <t xml:space="preserve">租車 成田駅前店</t>
    </r>
  </si>
  <si>
    <r>
      <rPr>
        <sz val="10"/>
        <color rgb="FF1F2937"/>
        <rFont val="Noto Sans CJK SC"/>
        <family val="2"/>
      </rPr>
      <t xml:space="preserve">走路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住宿點→京成成田公車站</t>
    </r>
    <r>
      <rPr>
        <sz val="10"/>
        <color rgb="FF1F2937"/>
        <rFont val="Microsoft JhengHei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</si>
  <si>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搭公車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京成成田→永旺夢樂城 成田</t>
    </r>
    <r>
      <rPr>
        <sz val="10"/>
        <color rgb="FF1F2937"/>
        <rFont val="Microsoft JhengHei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</si>
  <si>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上一班 </t>
    </r>
    <r>
      <rPr>
        <sz val="10"/>
        <color rgb="FF1F2937"/>
        <rFont val="Microsoft JhengHei"/>
        <family val="0"/>
        <charset val="1"/>
      </rPr>
      <t xml:space="preserve">16:15 / </t>
    </r>
    <r>
      <rPr>
        <sz val="10"/>
        <color rgb="FF1F2937"/>
        <rFont val="Noto Sans CJK SC"/>
        <family val="2"/>
      </rPr>
      <t xml:space="preserve">下一班 </t>
    </r>
    <r>
      <rPr>
        <sz val="10"/>
        <color rgb="FF1F2937"/>
        <rFont val="Microsoft JhengHei"/>
        <family val="0"/>
        <charset val="1"/>
      </rPr>
      <t xml:space="preserve">16:45</t>
    </r>
  </si>
  <si>
    <t xml:space="preserve">晚餐與購物</t>
  </si>
  <si>
    <t xml:space="preserve">永旺夢樂城 成田</t>
  </si>
  <si>
    <r>
      <rPr>
        <sz val="10"/>
        <color rgb="FF1F2937"/>
        <rFont val="Microsoft JhengHei"/>
        <family val="0"/>
        <charset val="1"/>
      </rPr>
      <t xml:space="preserve">AEON TOWN </t>
    </r>
    <r>
      <rPr>
        <sz val="10"/>
        <color rgb="FF1F2937"/>
        <rFont val="Noto Sans CJK SC"/>
        <family val="2"/>
      </rPr>
      <t xml:space="preserve">成田富里</t>
    </r>
  </si>
  <si>
    <r>
      <rPr>
        <sz val="10"/>
        <color rgb="FF1F2937"/>
        <rFont val="Noto Sans CJK SC"/>
        <family val="2"/>
      </rPr>
      <t xml:space="preserve">搭公車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永旺夢樂城 成田→京成成田</t>
    </r>
    <r>
      <rPr>
        <sz val="10"/>
        <color rgb="FF1F2937"/>
        <rFont val="Microsoft JhengHei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</si>
  <si>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上一班 </t>
    </r>
    <r>
      <rPr>
        <sz val="10"/>
        <color rgb="FF1F2937"/>
        <rFont val="Microsoft JhengHei"/>
        <family val="0"/>
        <charset val="1"/>
      </rPr>
      <t xml:space="preserve">08:33 / </t>
    </r>
    <r>
      <rPr>
        <sz val="10"/>
        <color rgb="FF1F2937"/>
        <rFont val="Noto Sans CJK SC"/>
        <family val="2"/>
      </rPr>
      <t xml:space="preserve">末班車 </t>
    </r>
    <r>
      <rPr>
        <sz val="10"/>
        <color rgb="FF1F2937"/>
        <rFont val="Microsoft JhengHei"/>
        <family val="0"/>
        <charset val="1"/>
      </rPr>
      <t xml:space="preserve">21:59</t>
    </r>
  </si>
  <si>
    <r>
      <rPr>
        <sz val="10"/>
        <color rgb="FF1F2937"/>
        <rFont val="Noto Sans CJK SC"/>
        <family val="2"/>
      </rPr>
      <t xml:space="preserve">走路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京成成田公車站→住宿點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</si>
  <si>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整理行李與休息</t>
  </si>
  <si>
    <t xml:space="preserve">2026/04/25</t>
  </si>
  <si>
    <t xml:space="preserve">走路或搭公車</t>
  </si>
  <si>
    <t xml:space="preserve">成田山表參道</t>
  </si>
  <si>
    <r>
      <rPr>
        <sz val="10"/>
        <color rgb="FF1F2937"/>
        <rFont val="Noto Sans CJK SC"/>
        <family val="2"/>
      </rPr>
      <t xml:space="preserve">走路</t>
    </r>
    <r>
      <rPr>
        <sz val="10"/>
        <color rgb="FF1F2937"/>
        <rFont val="Microsoft JhengHei"/>
        <family val="0"/>
        <charset val="1"/>
      </rPr>
      <t xml:space="preserve">20</t>
    </r>
    <r>
      <rPr>
        <sz val="10"/>
        <color rgb="FF1F2937"/>
        <rFont val="Noto Sans CJK SC"/>
        <family val="2"/>
      </rPr>
      <t xml:space="preserve">分鐘 </t>
    </r>
    <r>
      <rPr>
        <sz val="10"/>
        <color rgb="FF1F2937"/>
        <rFont val="Microsoft JhengHei"/>
        <family val="0"/>
        <charset val="1"/>
      </rPr>
      <t xml:space="preserve">/ </t>
    </r>
    <r>
      <rPr>
        <sz val="10"/>
        <color rgb="FF1F2937"/>
        <rFont val="Noto Sans CJK SC"/>
        <family val="2"/>
      </rPr>
      <t xml:space="preserve">薬師堂公車站下車</t>
    </r>
  </si>
  <si>
    <t xml:space="preserve">成田山新勝寺</t>
  </si>
  <si>
    <t xml:space="preserve">「御護摩火供」儀式（通常每小時一場）</t>
  </si>
  <si>
    <t xml:space="preserve">拿整理券</t>
  </si>
  <si>
    <r>
      <rPr>
        <sz val="10"/>
        <color rgb="FF1F2937"/>
        <rFont val="Noto Sans CJK SC"/>
        <family val="2"/>
      </rPr>
      <t xml:space="preserve">川豊本店 </t>
    </r>
    <r>
      <rPr>
        <sz val="10"/>
        <color rgb="FF1F2937"/>
        <rFont val="Microsoft JhengHei"/>
        <family val="0"/>
        <charset val="1"/>
      </rPr>
      <t xml:space="preserve">(10:00-17:00)</t>
    </r>
  </si>
  <si>
    <t xml:space="preserve">隨便逛逛</t>
  </si>
  <si>
    <r>
      <rPr>
        <sz val="10"/>
        <color rgb="FF1F2937"/>
        <rFont val="Noto Sans CJK SC"/>
        <family val="2"/>
      </rPr>
      <t xml:space="preserve">鰻魚 駿河屋 </t>
    </r>
    <r>
      <rPr>
        <sz val="10"/>
        <color rgb="FF1F2937"/>
        <rFont val="Microsoft JhengHei"/>
        <family val="0"/>
        <charset val="1"/>
      </rPr>
      <t xml:space="preserve">(11:00-16:00)</t>
    </r>
  </si>
  <si>
    <t xml:space="preserve">早餐或午餐</t>
  </si>
  <si>
    <r>
      <rPr>
        <sz val="10"/>
        <color rgb="FF1F2937"/>
        <rFont val="Noto Sans CJK SC"/>
        <family val="2"/>
      </rPr>
      <t xml:space="preserve">可能</t>
    </r>
    <r>
      <rPr>
        <sz val="10"/>
        <color rgb="FF1F2937"/>
        <rFont val="Microsoft JhengHei"/>
        <family val="0"/>
        <charset val="1"/>
      </rPr>
      <t xml:space="preserve">09:30</t>
    </r>
    <r>
      <rPr>
        <sz val="10"/>
        <color rgb="FF1F2937"/>
        <rFont val="Noto Sans CJK SC"/>
        <family val="2"/>
      </rPr>
      <t xml:space="preserve">領券、</t>
    </r>
    <r>
      <rPr>
        <sz val="10"/>
        <color rgb="FF1F2937"/>
        <rFont val="Microsoft JhengHei"/>
        <family val="0"/>
        <charset val="1"/>
      </rPr>
      <t xml:space="preserve">10:20</t>
    </r>
    <r>
      <rPr>
        <sz val="10"/>
        <color rgb="FF1F2937"/>
        <rFont val="Noto Sans CJK SC"/>
        <family val="2"/>
      </rPr>
      <t xml:space="preserve">入座，店門口有自動發券機，或改外帶，只收現金</t>
    </r>
  </si>
  <si>
    <r>
      <rPr>
        <sz val="10"/>
        <color rgb="FF1F2937"/>
        <rFont val="Noto Sans CJK SC"/>
        <family val="2"/>
      </rPr>
      <t xml:space="preserve">可能</t>
    </r>
    <r>
      <rPr>
        <sz val="10"/>
        <color rgb="FF1F2937"/>
        <rFont val="Microsoft JhengHei"/>
        <family val="0"/>
        <charset val="1"/>
      </rPr>
      <t xml:space="preserve">10:00</t>
    </r>
    <r>
      <rPr>
        <sz val="10"/>
        <color rgb="FF1F2937"/>
        <rFont val="Noto Sans CJK SC"/>
        <family val="2"/>
      </rPr>
      <t xml:space="preserve">領券、</t>
    </r>
    <r>
      <rPr>
        <sz val="10"/>
        <color rgb="FF1F2937"/>
        <rFont val="Microsoft JhengHei"/>
        <family val="0"/>
        <charset val="1"/>
      </rPr>
      <t xml:space="preserve">11:20</t>
    </r>
    <r>
      <rPr>
        <sz val="10"/>
        <color rgb="FF1F2937"/>
        <rFont val="Noto Sans CJK SC"/>
        <family val="2"/>
      </rPr>
      <t xml:space="preserve">入座，或改外帶，只收現金</t>
    </r>
  </si>
  <si>
    <t xml:space="preserve">參觀</t>
  </si>
  <si>
    <t xml:space="preserve">拿行李</t>
  </si>
  <si>
    <r>
      <rPr>
        <sz val="10"/>
        <color rgb="FF1F2937"/>
        <rFont val="Noto Sans CJK SC"/>
        <family val="2"/>
      </rPr>
      <t xml:space="preserve">走路</t>
    </r>
    <r>
      <rPr>
        <sz val="10"/>
        <color rgb="FF1F2937"/>
        <rFont val="Microsoft JhengHei"/>
        <family val="0"/>
        <charset val="1"/>
      </rPr>
      <t xml:space="preserve">&amp;</t>
    </r>
    <r>
      <rPr>
        <sz val="10"/>
        <color rgb="FF1F2937"/>
        <rFont val="Noto Sans CJK SC"/>
        <family val="2"/>
      </rPr>
      <t xml:space="preserve">緩衝</t>
    </r>
  </si>
  <si>
    <t xml:space="preserve">搭地鐵</t>
  </si>
  <si>
    <t xml:space="preserve">京成成田→機場第二航廈</t>
  </si>
  <si>
    <r>
      <rPr>
        <sz val="10"/>
        <color rgb="FF1F2937"/>
        <rFont val="Microsoft JhengHei"/>
        <family val="0"/>
        <charset val="1"/>
      </rPr>
      <t xml:space="preserve">13:39 </t>
    </r>
    <r>
      <rPr>
        <sz val="10"/>
        <color rgb="FF1F2937"/>
        <rFont val="Noto Sans CJK SC"/>
        <family val="2"/>
      </rPr>
      <t xml:space="preserve">京成本線 </t>
    </r>
    <r>
      <rPr>
        <sz val="10"/>
        <color rgb="FF1F2937"/>
        <rFont val="Microsoft JhengHei"/>
        <family val="0"/>
        <charset val="1"/>
      </rPr>
      <t xml:space="preserve">/ 13:59 </t>
    </r>
    <r>
      <rPr>
        <sz val="10"/>
        <color rgb="FF1F2937"/>
        <rFont val="Noto Sans CJK SC"/>
        <family val="2"/>
      </rPr>
      <t xml:space="preserve">京成本線 </t>
    </r>
    <r>
      <rPr>
        <sz val="10"/>
        <color rgb="FF1F2937"/>
        <rFont val="Microsoft JhengHei"/>
        <family val="0"/>
        <charset val="1"/>
      </rPr>
      <t xml:space="preserve">/ 14:19 </t>
    </r>
    <r>
      <rPr>
        <sz val="10"/>
        <color rgb="FF1F2937"/>
        <rFont val="Noto Sans CJK SC"/>
        <family val="2"/>
      </rPr>
      <t xml:space="preserve">京成本線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只能搭京成本線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</si>
  <si>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走路移動</t>
  </si>
  <si>
    <t xml:space="preserve">B1F→3F</t>
  </si>
  <si>
    <r>
      <rPr>
        <sz val="10"/>
        <color rgb="FF1F2937"/>
        <rFont val="Noto Sans CJK SC"/>
        <family val="2"/>
      </rPr>
      <t xml:space="preserve">班機報到</t>
    </r>
    <r>
      <rPr>
        <sz val="10"/>
        <color rgb="FF1F2937"/>
        <rFont val="Microsoft JhengHei"/>
        <family val="0"/>
        <charset val="1"/>
      </rPr>
      <t xml:space="preserve">&amp;</t>
    </r>
    <r>
      <rPr>
        <sz val="10"/>
        <color rgb="FF1F2937"/>
        <rFont val="Noto Sans CJK SC"/>
        <family val="2"/>
      </rPr>
      <t xml:space="preserve">機場購物</t>
    </r>
  </si>
  <si>
    <t xml:space="preserve">JX803 (A350-900)</t>
  </si>
  <si>
    <r>
      <rPr>
        <sz val="10"/>
        <color rgb="FF1F2937"/>
        <rFont val="Noto Sans CJK SC"/>
        <family val="2"/>
      </rPr>
      <t xml:space="preserve">飛行時間：</t>
    </r>
    <r>
      <rPr>
        <sz val="10"/>
        <color rgb="FF1F2937"/>
        <rFont val="Microsoft JhengHei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小時</t>
    </r>
    <r>
      <rPr>
        <sz val="10"/>
        <color rgb="FF1F2937"/>
        <rFont val="Microsoft JhengHei"/>
        <family val="0"/>
        <charset val="1"/>
      </rPr>
      <t xml:space="preserve">40</t>
    </r>
    <r>
      <rPr>
        <sz val="10"/>
        <color rgb="FF1F2937"/>
        <rFont val="Noto Sans CJK SC"/>
        <family val="2"/>
      </rPr>
      <t xml:space="preserve">分鐘</t>
    </r>
  </si>
  <si>
    <r>
      <rPr>
        <sz val="10"/>
        <color rgb="FF1F2937"/>
        <rFont val="Noto Sans CJK SC"/>
        <family val="2"/>
      </rPr>
      <t xml:space="preserve">桃園機場 </t>
    </r>
    <r>
      <rPr>
        <sz val="10"/>
        <color rgb="FF1F2937"/>
        <rFont val="Microsoft JhengHe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航廈</t>
    </r>
  </si>
  <si>
    <t xml:space="preserve">家裡</t>
  </si>
  <si>
    <r>
      <rPr>
        <b val="true"/>
        <sz val="14"/>
        <color rgb="FF1F4E79"/>
        <rFont val="Microsoft JhengHei"/>
        <family val="0"/>
        <charset val="1"/>
      </rPr>
      <t xml:space="preserve">DAY 1</t>
    </r>
    <r>
      <rPr>
        <b val="true"/>
        <sz val="14"/>
        <color rgb="FF1F4E79"/>
        <rFont val="Noto Sans CJK SC"/>
        <family val="2"/>
      </rPr>
      <t xml:space="preserve">　</t>
    </r>
    <r>
      <rPr>
        <b val="true"/>
        <sz val="14"/>
        <color rgb="FF1F4E79"/>
        <rFont val="Microsoft JhengHei"/>
        <family val="0"/>
        <charset val="1"/>
      </rPr>
      <t xml:space="preserve">2026/04/18 (</t>
    </r>
    <r>
      <rPr>
        <b val="true"/>
        <sz val="14"/>
        <color rgb="FF1F4E79"/>
        <rFont val="Noto Sans CJK SC"/>
        <family val="2"/>
      </rPr>
      <t xml:space="preserve">六</t>
    </r>
    <r>
      <rPr>
        <b val="true"/>
        <sz val="14"/>
        <color rgb="FF1F4E79"/>
        <rFont val="Microsoft JhengHei"/>
        <family val="0"/>
        <charset val="1"/>
      </rPr>
      <t xml:space="preserve">)</t>
    </r>
    <r>
      <rPr>
        <b val="true"/>
        <sz val="14"/>
        <color rgb="FF1F4E79"/>
        <rFont val="Noto Sans CJK SC"/>
        <family val="2"/>
      </rPr>
      <t xml:space="preserve">　│　住宿：</t>
    </r>
    <r>
      <rPr>
        <b val="true"/>
        <sz val="14"/>
        <color rgb="FF1F4E79"/>
        <rFont val="Microsoft JhengHei"/>
        <family val="0"/>
        <charset val="1"/>
      </rPr>
      <t xml:space="preserve">Hotel Hitachi Hills</t>
    </r>
  </si>
  <si>
    <r>
      <rPr>
        <b val="true"/>
        <sz val="14"/>
        <color rgb="FF1F4E79"/>
        <rFont val="Microsoft JhengHei"/>
        <family val="0"/>
        <charset val="1"/>
      </rPr>
      <t xml:space="preserve">DAY 2</t>
    </r>
    <r>
      <rPr>
        <b val="true"/>
        <sz val="14"/>
        <color rgb="FF1F4E79"/>
        <rFont val="Noto Sans CJK SC"/>
        <family val="2"/>
      </rPr>
      <t xml:space="preserve">　</t>
    </r>
    <r>
      <rPr>
        <b val="true"/>
        <sz val="14"/>
        <color rgb="FF1F4E79"/>
        <rFont val="Microsoft JhengHei"/>
        <family val="0"/>
        <charset val="1"/>
      </rPr>
      <t xml:space="preserve">2026/04/19 (</t>
    </r>
    <r>
      <rPr>
        <b val="true"/>
        <sz val="14"/>
        <color rgb="FF1F4E79"/>
        <rFont val="Noto Sans CJK SC"/>
        <family val="2"/>
      </rPr>
      <t xml:space="preserve">日</t>
    </r>
    <r>
      <rPr>
        <b val="true"/>
        <sz val="14"/>
        <color rgb="FF1F4E79"/>
        <rFont val="Microsoft JhengHei"/>
        <family val="0"/>
        <charset val="1"/>
      </rPr>
      <t xml:space="preserve">)</t>
    </r>
    <r>
      <rPr>
        <b val="true"/>
        <sz val="14"/>
        <color rgb="FF1F4E79"/>
        <rFont val="Noto Sans CJK SC"/>
        <family val="2"/>
      </rPr>
      <t xml:space="preserve">　│　住宿：とびた荘</t>
    </r>
  </si>
  <si>
    <r>
      <rPr>
        <b val="true"/>
        <sz val="14"/>
        <color rgb="FF1F4E79"/>
        <rFont val="Microsoft JhengHei"/>
        <family val="0"/>
        <charset val="1"/>
      </rPr>
      <t xml:space="preserve">DAY 3</t>
    </r>
    <r>
      <rPr>
        <b val="true"/>
        <sz val="14"/>
        <color rgb="FF1F4E79"/>
        <rFont val="Noto Sans CJK SC"/>
        <family val="2"/>
      </rPr>
      <t xml:space="preserve">　</t>
    </r>
    <r>
      <rPr>
        <b val="true"/>
        <sz val="14"/>
        <color rgb="FF1F4E79"/>
        <rFont val="Microsoft JhengHei"/>
        <family val="0"/>
        <charset val="1"/>
      </rPr>
      <t xml:space="preserve">2026/04/20 (</t>
    </r>
    <r>
      <rPr>
        <b val="true"/>
        <sz val="14"/>
        <color rgb="FF1F4E79"/>
        <rFont val="Noto Sans CJK SC"/>
        <family val="2"/>
      </rPr>
      <t xml:space="preserve">一</t>
    </r>
    <r>
      <rPr>
        <b val="true"/>
        <sz val="14"/>
        <color rgb="FF1F4E79"/>
        <rFont val="Microsoft JhengHei"/>
        <family val="0"/>
        <charset val="1"/>
      </rPr>
      <t xml:space="preserve">)</t>
    </r>
    <r>
      <rPr>
        <b val="true"/>
        <sz val="14"/>
        <color rgb="FF1F4E79"/>
        <rFont val="Noto Sans CJK SC"/>
        <family val="2"/>
      </rPr>
      <t xml:space="preserve">　│　住宿：とびた荘</t>
    </r>
  </si>
  <si>
    <r>
      <rPr>
        <b val="true"/>
        <sz val="14"/>
        <color rgb="FF1F4E79"/>
        <rFont val="Microsoft JhengHei"/>
        <family val="0"/>
        <charset val="1"/>
      </rPr>
      <t xml:space="preserve">DAY 4</t>
    </r>
    <r>
      <rPr>
        <b val="true"/>
        <sz val="14"/>
        <color rgb="FF1F4E79"/>
        <rFont val="Noto Sans CJK SC"/>
        <family val="2"/>
      </rPr>
      <t xml:space="preserve">　</t>
    </r>
    <r>
      <rPr>
        <b val="true"/>
        <sz val="14"/>
        <color rgb="FF1F4E79"/>
        <rFont val="Microsoft JhengHei"/>
        <family val="0"/>
        <charset val="1"/>
      </rPr>
      <t xml:space="preserve">2026/04/21 (</t>
    </r>
    <r>
      <rPr>
        <b val="true"/>
        <sz val="14"/>
        <color rgb="FF1F4E79"/>
        <rFont val="Noto Sans CJK SC"/>
        <family val="2"/>
      </rPr>
      <t xml:space="preserve">二</t>
    </r>
    <r>
      <rPr>
        <b val="true"/>
        <sz val="14"/>
        <color rgb="FF1F4E79"/>
        <rFont val="Microsoft JhengHei"/>
        <family val="0"/>
        <charset val="1"/>
      </rPr>
      <t xml:space="preserve">)</t>
    </r>
    <r>
      <rPr>
        <b val="true"/>
        <sz val="14"/>
        <color rgb="FF1F4E79"/>
        <rFont val="Noto Sans CJK SC"/>
        <family val="2"/>
      </rPr>
      <t xml:space="preserve">　│　住宿：</t>
    </r>
    <r>
      <rPr>
        <b val="true"/>
        <sz val="14"/>
        <color rgb="FF1F4E79"/>
        <rFont val="Microsoft JhengHei"/>
        <family val="0"/>
        <charset val="1"/>
      </rPr>
      <t xml:space="preserve">Dragon Inn Nikko</t>
    </r>
  </si>
  <si>
    <r>
      <rPr>
        <b val="true"/>
        <sz val="14"/>
        <color rgb="FF1F4E79"/>
        <rFont val="Microsoft JhengHei"/>
        <family val="0"/>
        <charset val="1"/>
      </rPr>
      <t xml:space="preserve">DAY 5</t>
    </r>
    <r>
      <rPr>
        <b val="true"/>
        <sz val="14"/>
        <color rgb="FF1F4E79"/>
        <rFont val="Noto Sans CJK SC"/>
        <family val="2"/>
      </rPr>
      <t xml:space="preserve">　</t>
    </r>
    <r>
      <rPr>
        <b val="true"/>
        <sz val="14"/>
        <color rgb="FF1F4E79"/>
        <rFont val="Microsoft JhengHei"/>
        <family val="0"/>
        <charset val="1"/>
      </rPr>
      <t xml:space="preserve">2026/04/22 (</t>
    </r>
    <r>
      <rPr>
        <b val="true"/>
        <sz val="14"/>
        <color rgb="FF1F4E79"/>
        <rFont val="Noto Sans CJK SC"/>
        <family val="2"/>
      </rPr>
      <t xml:space="preserve">三</t>
    </r>
    <r>
      <rPr>
        <b val="true"/>
        <sz val="14"/>
        <color rgb="FF1F4E79"/>
        <rFont val="Microsoft JhengHei"/>
        <family val="0"/>
        <charset val="1"/>
      </rPr>
      <t xml:space="preserve">)</t>
    </r>
    <r>
      <rPr>
        <b val="true"/>
        <sz val="14"/>
        <color rgb="FF1F4E79"/>
        <rFont val="Noto Sans CJK SC"/>
        <family val="2"/>
      </rPr>
      <t xml:space="preserve">　│　住宿：旅籠 </t>
    </r>
    <r>
      <rPr>
        <b val="true"/>
        <sz val="14"/>
        <color rgb="FF1F4E79"/>
        <rFont val="Microsoft JhengHei"/>
        <family val="0"/>
        <charset val="1"/>
      </rPr>
      <t xml:space="preserve">Nagomi</t>
    </r>
  </si>
  <si>
    <r>
      <rPr>
        <b val="true"/>
        <sz val="14"/>
        <color rgb="FF1F4E79"/>
        <rFont val="Microsoft JhengHei"/>
        <family val="0"/>
        <charset val="1"/>
      </rPr>
      <t xml:space="preserve">DAY 6</t>
    </r>
    <r>
      <rPr>
        <b val="true"/>
        <sz val="14"/>
        <color rgb="FF1F4E79"/>
        <rFont val="Noto Sans CJK SC"/>
        <family val="2"/>
      </rPr>
      <t xml:space="preserve">　</t>
    </r>
    <r>
      <rPr>
        <b val="true"/>
        <sz val="14"/>
        <color rgb="FF1F4E79"/>
        <rFont val="Microsoft JhengHei"/>
        <family val="0"/>
        <charset val="1"/>
      </rPr>
      <t xml:space="preserve">2026/04/23 (</t>
    </r>
    <r>
      <rPr>
        <b val="true"/>
        <sz val="14"/>
        <color rgb="FF1F4E79"/>
        <rFont val="Noto Sans CJK SC"/>
        <family val="2"/>
      </rPr>
      <t xml:space="preserve">四</t>
    </r>
    <r>
      <rPr>
        <b val="true"/>
        <sz val="14"/>
        <color rgb="FF1F4E79"/>
        <rFont val="Microsoft JhengHei"/>
        <family val="0"/>
        <charset val="1"/>
      </rPr>
      <t xml:space="preserve">)</t>
    </r>
    <r>
      <rPr>
        <b val="true"/>
        <sz val="14"/>
        <color rgb="FF1F4E79"/>
        <rFont val="Noto Sans CJK SC"/>
        <family val="2"/>
      </rPr>
      <t xml:space="preserve">　│　住宿：</t>
    </r>
    <r>
      <rPr>
        <b val="true"/>
        <sz val="14"/>
        <color rgb="FF1F4E79"/>
        <rFont val="Microsoft JhengHei"/>
        <family val="0"/>
        <charset val="1"/>
      </rPr>
      <t xml:space="preserve">HOTEL R9 The Yard </t>
    </r>
    <r>
      <rPr>
        <b val="true"/>
        <sz val="14"/>
        <color rgb="FF1F4E79"/>
        <rFont val="Noto Sans CJK SC"/>
        <family val="2"/>
      </rPr>
      <t xml:space="preserve">足利福富</t>
    </r>
  </si>
  <si>
    <r>
      <rPr>
        <b val="true"/>
        <sz val="14"/>
        <color rgb="FF1F4E79"/>
        <rFont val="Microsoft JhengHei"/>
        <family val="0"/>
        <charset val="1"/>
      </rPr>
      <t xml:space="preserve">DAY 7</t>
    </r>
    <r>
      <rPr>
        <b val="true"/>
        <sz val="14"/>
        <color rgb="FF1F4E79"/>
        <rFont val="Noto Sans CJK SC"/>
        <family val="2"/>
      </rPr>
      <t xml:space="preserve">　</t>
    </r>
    <r>
      <rPr>
        <b val="true"/>
        <sz val="14"/>
        <color rgb="FF1F4E79"/>
        <rFont val="Microsoft JhengHei"/>
        <family val="0"/>
        <charset val="1"/>
      </rPr>
      <t xml:space="preserve">2026/04/24 (</t>
    </r>
    <r>
      <rPr>
        <b val="true"/>
        <sz val="14"/>
        <color rgb="FF1F4E79"/>
        <rFont val="Noto Sans CJK SC"/>
        <family val="2"/>
      </rPr>
      <t xml:space="preserve">五</t>
    </r>
    <r>
      <rPr>
        <b val="true"/>
        <sz val="14"/>
        <color rgb="FF1F4E79"/>
        <rFont val="Microsoft JhengHei"/>
        <family val="0"/>
        <charset val="1"/>
      </rPr>
      <t xml:space="preserve">)</t>
    </r>
    <r>
      <rPr>
        <b val="true"/>
        <sz val="14"/>
        <color rgb="FF1F4E79"/>
        <rFont val="Noto Sans CJK SC"/>
        <family val="2"/>
      </rPr>
      <t xml:space="preserve">　│　住宿：</t>
    </r>
    <r>
      <rPr>
        <b val="true"/>
        <sz val="14"/>
        <color rgb="FF1F4E79"/>
        <rFont val="Microsoft JhengHei"/>
        <family val="0"/>
        <charset val="1"/>
      </rPr>
      <t xml:space="preserve">Comfort Hotel Narita</t>
    </r>
  </si>
  <si>
    <r>
      <rPr>
        <b val="true"/>
        <sz val="14"/>
        <color rgb="FF1F4E79"/>
        <rFont val="Microsoft JhengHei"/>
        <family val="0"/>
        <charset val="1"/>
      </rPr>
      <t xml:space="preserve">DAY 8</t>
    </r>
    <r>
      <rPr>
        <b val="true"/>
        <sz val="14"/>
        <color rgb="FF1F4E79"/>
        <rFont val="Noto Sans CJK SC"/>
        <family val="2"/>
      </rPr>
      <t xml:space="preserve">　</t>
    </r>
    <r>
      <rPr>
        <b val="true"/>
        <sz val="14"/>
        <color rgb="FF1F4E79"/>
        <rFont val="Microsoft JhengHei"/>
        <family val="0"/>
        <charset val="1"/>
      </rPr>
      <t xml:space="preserve">2026/04/25 (</t>
    </r>
    <r>
      <rPr>
        <b val="true"/>
        <sz val="14"/>
        <color rgb="FF1F4E79"/>
        <rFont val="Noto Sans CJK SC"/>
        <family val="2"/>
      </rPr>
      <t xml:space="preserve">六</t>
    </r>
    <r>
      <rPr>
        <b val="true"/>
        <sz val="14"/>
        <color rgb="FF1F4E79"/>
        <rFont val="Microsoft JhengHei"/>
        <family val="0"/>
        <charset val="1"/>
      </rPr>
      <t xml:space="preserve">)</t>
    </r>
    <r>
      <rPr>
        <b val="true"/>
        <sz val="14"/>
        <color rgb="FF1F4E79"/>
        <rFont val="Noto Sans CJK SC"/>
        <family val="2"/>
      </rPr>
      <t xml:space="preserve">　│　住宿：</t>
    </r>
    <r>
      <rPr>
        <b val="true"/>
        <sz val="14"/>
        <color rgb="FF1F4E79"/>
        <rFont val="Microsoft JhengHei"/>
        <family val="0"/>
        <charset val="1"/>
      </rPr>
      <t xml:space="preserve">Comfort Hotel Narita</t>
    </r>
  </si>
  <si>
    <r>
      <rPr>
        <b val="true"/>
        <sz val="14"/>
        <color rgb="FF1F4E79"/>
        <rFont val="Noto Sans CJK SC"/>
        <family val="2"/>
      </rPr>
      <t xml:space="preserve">住宿一覽（</t>
    </r>
    <r>
      <rPr>
        <b val="true"/>
        <sz val="14"/>
        <color rgb="FF1F4E79"/>
        <rFont val="Microsoft JhengHei"/>
        <family val="0"/>
        <charset val="1"/>
      </rPr>
      <t xml:space="preserve">2026/04/18~25 </t>
    </r>
    <r>
      <rPr>
        <b val="true"/>
        <sz val="14"/>
        <color rgb="FF1F4E79"/>
        <rFont val="Noto Sans CJK SC"/>
        <family val="2"/>
      </rPr>
      <t xml:space="preserve">東京近郊自駕）</t>
    </r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</si>
  <si>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</si>
  <si>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</si>
  <si>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</si>
  <si>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</si>
  <si>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</si>
  <si>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</si>
  <si>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</t>
  </si>
  <si>
    <t xml:space="preserve">04/18</t>
  </si>
  <si>
    <t xml:space="preserve">04/19</t>
  </si>
  <si>
    <t xml:space="preserve">04/20</t>
  </si>
  <si>
    <t xml:space="preserve">04/21</t>
  </si>
  <si>
    <t xml:space="preserve">04/22</t>
  </si>
  <si>
    <t xml:space="preserve">04/23</t>
  </si>
  <si>
    <t xml:space="preserve">04/24</t>
  </si>
  <si>
    <t xml:space="preserve">週六</t>
  </si>
  <si>
    <t xml:space="preserve">週日</t>
  </si>
  <si>
    <t xml:space="preserve">週一</t>
  </si>
  <si>
    <t xml:space="preserve">週二</t>
  </si>
  <si>
    <t xml:space="preserve">週三</t>
  </si>
  <si>
    <t xml:space="preserve">週四</t>
  </si>
  <si>
    <t xml:space="preserve">週五</t>
  </si>
  <si>
    <t xml:space="preserve">住宿城市</t>
  </si>
  <si>
    <t xml:space="preserve">茨城縣日立市</t>
  </si>
  <si>
    <t xml:space="preserve">茨城縣大洗町</t>
  </si>
  <si>
    <r>
      <rPr>
        <i val="true"/>
        <sz val="10"/>
        <color rgb="FF9C9C9C"/>
        <rFont val="Noto Sans CJK SC"/>
        <family val="2"/>
      </rPr>
      <t xml:space="preserve">↑ 同 </t>
    </r>
    <r>
      <rPr>
        <i val="true"/>
        <sz val="10"/>
        <color rgb="FF9C9C9C"/>
        <rFont val="Microsoft JhengHei"/>
        <family val="0"/>
        <charset val="1"/>
      </rPr>
      <t xml:space="preserve">Day 2</t>
    </r>
    <r>
      <rPr>
        <i val="true"/>
        <sz val="10"/>
        <color rgb="FF9C9C9C"/>
        <rFont val="Noto Sans CJK SC"/>
        <family val="2"/>
      </rPr>
      <t xml:space="preserve">（連住）</t>
    </r>
  </si>
  <si>
    <t xml:space="preserve">栃木縣日光市</t>
  </si>
  <si>
    <t xml:space="preserve">栃木縣足利市</t>
  </si>
  <si>
    <t xml:space="preserve">千葉縣成田市</t>
  </si>
  <si>
    <t xml:space="preserve">住宿區域</t>
  </si>
  <si>
    <t xml:space="preserve">日立市</t>
  </si>
  <si>
    <t xml:space="preserve">大洗</t>
  </si>
  <si>
    <t xml:space="preserve">日光</t>
  </si>
  <si>
    <t xml:space="preserve">奧日光</t>
  </si>
  <si>
    <t xml:space="preserve">足利市</t>
  </si>
  <si>
    <t xml:space="preserve">成田機場附近</t>
  </si>
  <si>
    <t xml:space="preserve">住宿地點</t>
  </si>
  <si>
    <t xml:space="preserve">Hotel Hitachi Hills</t>
  </si>
  <si>
    <t xml:space="preserve">Comfort Hotel Narita</t>
  </si>
  <si>
    <t xml:space="preserve">早餐</t>
  </si>
  <si>
    <t xml:space="preserve">有</t>
  </si>
  <si>
    <t xml:space="preserve">無</t>
  </si>
  <si>
    <t xml:space="preserve">可加購</t>
  </si>
  <si>
    <t xml:space="preserve">算是有</t>
  </si>
  <si>
    <r>
      <rPr>
        <sz val="10"/>
        <color rgb="FF1F2937"/>
        <rFont val="Noto Sans CJK SC"/>
        <family val="2"/>
      </rPr>
      <t xml:space="preserve">有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但不吃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</si>
  <si>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房型</t>
  </si>
  <si>
    <r>
      <rPr>
        <sz val="10"/>
        <color rgb="FF1F2937"/>
        <rFont val="Noto Sans CJK SC"/>
        <family val="2"/>
      </rPr>
      <t xml:space="preserve">家庭房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雙床</t>
    </r>
    <r>
      <rPr>
        <sz val="10"/>
        <color rgb="FF1F2937"/>
        <rFont val="Microsoft JhengHei"/>
        <family val="0"/>
        <charset val="1"/>
      </rPr>
      <t xml:space="preserve">1 &amp; </t>
    </r>
    <r>
      <rPr>
        <sz val="10"/>
        <color rgb="FF1F2937"/>
        <rFont val="Noto Sans CJK SC"/>
        <family val="2"/>
      </rPr>
      <t xml:space="preserve">榻榻米</t>
    </r>
    <r>
      <rPr>
        <sz val="10"/>
        <color rgb="FF1F2937"/>
        <rFont val="Microsoft JhengHei"/>
        <family val="0"/>
        <charset val="1"/>
      </rPr>
      <t xml:space="preserve">2)</t>
    </r>
  </si>
  <si>
    <r>
      <rPr>
        <sz val="10"/>
        <color rgb="FF1F2937"/>
        <rFont val="Noto Sans CJK SC"/>
        <family val="2"/>
      </rPr>
      <t xml:space="preserve">公寓 </t>
    </r>
    <r>
      <rPr>
        <sz val="10"/>
        <color rgb="FF1F2937"/>
        <rFont val="Microsoft JhengHei"/>
        <family val="0"/>
        <charset val="1"/>
      </rPr>
      <t xml:space="preserve">(3</t>
    </r>
    <r>
      <rPr>
        <sz val="10"/>
        <color rgb="FF1F2937"/>
        <rFont val="Noto Sans CJK SC"/>
        <family val="2"/>
      </rPr>
      <t xml:space="preserve">雙床房</t>
    </r>
    <r>
      <rPr>
        <sz val="10"/>
        <color rgb="FF1F2937"/>
        <rFont val="Microsoft JhengHei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</si>
  <si>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雙床</t>
    </r>
    <r>
      <rPr>
        <sz val="10"/>
        <color rgb="FF1F2937"/>
        <rFont val="Microsoft JhengHei"/>
        <family val="0"/>
        <charset val="1"/>
      </rPr>
      <t xml:space="preserve">2</t>
    </r>
  </si>
  <si>
    <t xml:space="preserve">其他</t>
  </si>
  <si>
    <t xml:space="preserve">私人廁所、共用澡堂</t>
  </si>
  <si>
    <t xml:space="preserve">可洗脫烘衣服</t>
  </si>
  <si>
    <t xml:space="preserve">免費取消</t>
  </si>
  <si>
    <r>
      <rPr>
        <sz val="10"/>
        <color rgb="FF1F2937"/>
        <rFont val="Microsoft JhengHei"/>
        <family val="0"/>
        <charset val="1"/>
      </rPr>
      <t xml:space="preserve">4/16 </t>
    </r>
    <r>
      <rPr>
        <sz val="10"/>
        <color rgb="FF1F2937"/>
        <rFont val="Noto Sans CJK SC"/>
        <family val="2"/>
      </rPr>
      <t xml:space="preserve">前</t>
    </r>
  </si>
  <si>
    <r>
      <rPr>
        <sz val="10"/>
        <color rgb="FF1F2937"/>
        <rFont val="Microsoft JhengHei"/>
        <family val="0"/>
        <charset val="1"/>
      </rPr>
      <t xml:space="preserve">4/15 </t>
    </r>
    <r>
      <rPr>
        <sz val="10"/>
        <color rgb="FF1F2937"/>
        <rFont val="Noto Sans CJK SC"/>
        <family val="2"/>
      </rPr>
      <t xml:space="preserve">前</t>
    </r>
  </si>
  <si>
    <r>
      <rPr>
        <sz val="10"/>
        <color rgb="FF1F2937"/>
        <rFont val="Microsoft JhengHei"/>
        <family val="0"/>
        <charset val="1"/>
      </rPr>
      <t xml:space="preserve">4/17 </t>
    </r>
    <r>
      <rPr>
        <sz val="10"/>
        <color rgb="FF1F2937"/>
        <rFont val="Noto Sans CJK SC"/>
        <family val="2"/>
      </rPr>
      <t xml:space="preserve">前</t>
    </r>
  </si>
  <si>
    <r>
      <rPr>
        <sz val="10"/>
        <color rgb="FF1F2937"/>
        <rFont val="Microsoft JhengHei"/>
        <family val="0"/>
        <charset val="1"/>
      </rPr>
      <t xml:space="preserve">4/21 </t>
    </r>
    <r>
      <rPr>
        <sz val="10"/>
        <color rgb="FF1F2937"/>
        <rFont val="Noto Sans CJK SC"/>
        <family val="2"/>
      </rPr>
      <t xml:space="preserve">前</t>
    </r>
  </si>
  <si>
    <r>
      <rPr>
        <sz val="10"/>
        <color rgb="FF1F2937"/>
        <rFont val="Microsoft JhengHei"/>
        <family val="0"/>
        <charset val="1"/>
      </rPr>
      <t xml:space="preserve">4/19 </t>
    </r>
    <r>
      <rPr>
        <sz val="10"/>
        <color rgb="FF1F2937"/>
        <rFont val="Noto Sans CJK SC"/>
        <family val="2"/>
      </rPr>
      <t xml:space="preserve">前</t>
    </r>
  </si>
  <si>
    <t xml:space="preserve">台幣價格</t>
  </si>
  <si>
    <t xml:space="preserve">訂房人</t>
  </si>
  <si>
    <t xml:space="preserve">Alex</t>
  </si>
  <si>
    <t xml:space="preserve">Ken</t>
  </si>
  <si>
    <t xml:space="preserve">訂房平台</t>
  </si>
  <si>
    <t xml:space="preserve">Booking</t>
  </si>
  <si>
    <t xml:space="preserve">Agoda</t>
  </si>
  <si>
    <t xml:space="preserve">合計</t>
  </si>
  <si>
    <r>
      <rPr>
        <i val="true"/>
        <sz val="10"/>
        <color rgb="FF808080"/>
        <rFont val="Noto Sans CJK SC"/>
        <family val="2"/>
      </rPr>
      <t xml:space="preserve">元（台幣．</t>
    </r>
    <r>
      <rPr>
        <i val="true"/>
        <sz val="10"/>
        <color rgb="FF808080"/>
        <rFont val="Microsoft JhengHei"/>
        <family val="0"/>
        <charset val="1"/>
      </rPr>
      <t xml:space="preserve">7 </t>
    </r>
    <r>
      <rPr>
        <i val="true"/>
        <sz val="10"/>
        <color rgb="FF808080"/>
        <rFont val="Noto Sans CJK SC"/>
        <family val="2"/>
      </rPr>
      <t xml:space="preserve">晚住宿總額）</t>
    </r>
  </si>
  <si>
    <r>
      <rPr>
        <b val="true"/>
        <sz val="14"/>
        <color rgb="FF1F4E79"/>
        <rFont val="Noto Sans CJK SC"/>
        <family val="2"/>
      </rPr>
      <t xml:space="preserve">餐食一覽（</t>
    </r>
    <r>
      <rPr>
        <b val="true"/>
        <sz val="14"/>
        <color rgb="FF1F4E79"/>
        <rFont val="Microsoft JhengHei"/>
        <family val="0"/>
        <charset val="1"/>
      </rPr>
      <t xml:space="preserve">2026/04/18~25 </t>
    </r>
    <r>
      <rPr>
        <b val="true"/>
        <sz val="14"/>
        <color rgb="FF1F4E79"/>
        <rFont val="Noto Sans CJK SC"/>
        <family val="2"/>
      </rPr>
      <t xml:space="preserve">東京近郊自駕）</t>
    </r>
  </si>
  <si>
    <t xml:space="preserve">Day 8</t>
  </si>
  <si>
    <t xml:space="preserve">04/25</t>
  </si>
  <si>
    <t xml:space="preserve">飛機餐</t>
  </si>
  <si>
    <t xml:space="preserve">飯店自助餐</t>
  </si>
  <si>
    <r>
      <rPr>
        <sz val="10"/>
        <color rgb="FF1F2937"/>
        <rFont val="Noto Sans CJK SC"/>
        <family val="2"/>
      </rPr>
      <t xml:space="preserve">便利商店 </t>
    </r>
    <r>
      <rPr>
        <sz val="10"/>
        <color rgb="FF1F2937"/>
        <rFont val="Microsoft JhengHei"/>
        <family val="0"/>
        <charset val="1"/>
      </rPr>
      <t xml:space="preserve">7-11</t>
    </r>
  </si>
  <si>
    <t xml:space="preserve">海鮮蓋飯</t>
  </si>
  <si>
    <t xml:space="preserve">豆乳甜甜圈</t>
  </si>
  <si>
    <r>
      <rPr>
        <sz val="10"/>
        <color rgb="FF1F2937"/>
        <rFont val="Noto Sans CJK SC"/>
        <family val="2"/>
      </rPr>
      <t xml:space="preserve">飯店早餐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超市</t>
    </r>
  </si>
  <si>
    <t xml:space="preserve">飯店冷凍微波食品</t>
  </si>
  <si>
    <t xml:space="preserve">鰻魚飯</t>
  </si>
  <si>
    <t xml:space="preserve">午餐</t>
  </si>
  <si>
    <t xml:space="preserve">成田機場隨便吃</t>
  </si>
  <si>
    <t xml:space="preserve">蕎麥麵</t>
  </si>
  <si>
    <t xml:space="preserve">咖啡廳</t>
  </si>
  <si>
    <t xml:space="preserve">豆皮壽司</t>
  </si>
  <si>
    <t xml:space="preserve">炸豬排</t>
  </si>
  <si>
    <t xml:space="preserve">拉麵</t>
  </si>
  <si>
    <t xml:space="preserve">超寬烏龍麵</t>
  </si>
  <si>
    <t xml:space="preserve">下午茶</t>
  </si>
  <si>
    <t xml:space="preserve">胡桃饅頭
和菓子
豆腐霜淇淋
栗子蒙布朗</t>
  </si>
  <si>
    <t xml:space="preserve">麵包
炸饅頭
布丁
醬油糰子
羊羹</t>
  </si>
  <si>
    <t xml:space="preserve">晚餐</t>
  </si>
  <si>
    <t xml:space="preserve">中華拉麵</t>
  </si>
  <si>
    <r>
      <rPr>
        <sz val="10"/>
        <color rgb="FF1F2937"/>
        <rFont val="Noto Sans CJK SC"/>
        <family val="2"/>
      </rPr>
      <t xml:space="preserve">鰻魚飯</t>
    </r>
    <r>
      <rPr>
        <sz val="10"/>
        <color rgb="FF1F2937"/>
        <rFont val="Microsoft JhengHe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炸豬排</t>
    </r>
  </si>
  <si>
    <r>
      <rPr>
        <sz val="10"/>
        <color rgb="FF1F2937"/>
        <rFont val="Noto Sans CJK SC"/>
        <family val="2"/>
      </rPr>
      <t xml:space="preserve">鮟鱇魚火鍋 </t>
    </r>
    <r>
      <rPr>
        <sz val="10"/>
        <color rgb="FF1F2937"/>
        <rFont val="Microsoft JhengHei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有訂位</t>
    </r>
    <r>
      <rPr>
        <sz val="10"/>
        <color rgb="FF1F2937"/>
        <rFont val="Microsoft JhengHei"/>
        <family val="0"/>
        <charset val="1"/>
      </rPr>
      <t xml:space="preserve">)</t>
    </r>
  </si>
  <si>
    <t xml:space="preserve">日式定食</t>
  </si>
  <si>
    <t xml:space="preserve">青竹手工揉麵</t>
  </si>
  <si>
    <r>
      <rPr>
        <sz val="10"/>
        <color rgb="FF1F2937"/>
        <rFont val="Microsoft JhengHei"/>
        <family val="0"/>
        <charset val="1"/>
      </rPr>
      <t xml:space="preserve">Outlet</t>
    </r>
    <r>
      <rPr>
        <sz val="10"/>
        <color rgb="FF1F2937"/>
        <rFont val="Noto Sans CJK SC"/>
        <family val="2"/>
      </rPr>
      <t xml:space="preserve">隨便找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</si>
</sst>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hh:mm"/>
    <numFmt numFmtId="167" formatCode="#,##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Microsoft JhengHei"/>
      <family val="0"/>
      <charset val="1"/>
    </font>
    <font>
      <b val="true"/>
      <sz val="16"/>
      <color rgb="FF1F4E79"/>
      <name val="Noto Sans CJK SC"/>
      <family val="2"/>
    </font>
    <font>
      <b val="true"/>
      <sz val="10"/>
      <color rgb="FF1F2937"/>
      <name val="Noto Sans CJK SC"/>
      <family val="2"/>
    </font>
    <font>
      <b val="true"/>
      <sz val="10"/>
      <color rgb="FF1F4E79"/>
      <name val="Noto Sans CJK SC"/>
      <family val="2"/>
    </font>
    <font>
      <b val="true"/>
      <sz val="10"/>
      <color rgb="FF7F6000"/>
      <name val="Noto Sans CJK SC"/>
      <family val="2"/>
    </font>
    <font>
      <b val="true"/>
      <sz val="10"/>
      <color rgb="FF4B2E83"/>
      <name val="Noto Sans CJK SC"/>
      <family val="2"/>
    </font>
    <font>
      <b val="true"/>
      <sz val="10"/>
      <color rgb="FF375623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Microsoft JhengHei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Microsoft JhengHei"/>
      <family val="0"/>
      <charset val="1"/>
    </font>
    <font>
      <sz val="10"/>
      <color rgb="FF1F2937"/>
      <name val="Microsoft JhengHei"/>
      <family val="0"/>
      <charset val="1"/>
    </font>
    <font>
      <sz val="10"/>
      <color rgb="FF1F2937"/>
      <name val="Noto Sans CJK SC"/>
      <family val="2"/>
    </font>
    <font>
      <sz val="10"/>
      <color rgb="FF4B2E83"/>
      <name val="Noto Sans CJK SC"/>
      <family val="2"/>
    </font>
    <font>
      <sz val="10"/>
      <color rgb="FF1F4E79"/>
      <name val="Noto Sans CJK SC"/>
      <family val="2"/>
    </font>
    <font>
      <sz val="10"/>
      <color rgb="FF375623"/>
      <name val="Noto Sans CJK SC"/>
      <family val="2"/>
    </font>
    <font>
      <sz val="10"/>
      <color rgb="FF7F6000"/>
      <name val="Noto Sans CJK SC"/>
      <family val="2"/>
    </font>
    <font>
      <b val="true"/>
      <sz val="14"/>
      <color rgb="FF1F4E79"/>
      <name val="Microsoft JhengHei"/>
      <family val="0"/>
      <charset val="1"/>
    </font>
    <font>
      <b val="true"/>
      <sz val="14"/>
      <color rgb="FF1F4E79"/>
      <name val="Noto Sans CJK SC"/>
      <family val="2"/>
    </font>
    <font>
      <b val="true"/>
      <sz val="11"/>
      <color rgb="FF1F4E79"/>
      <name val="Microsoft JhengHei"/>
      <family val="0"/>
      <charset val="1"/>
    </font>
    <font>
      <b val="true"/>
      <sz val="11"/>
      <color rgb="FF1F4E79"/>
      <name val="Noto Sans CJK SC"/>
      <family val="2"/>
    </font>
    <font>
      <i val="true"/>
      <sz val="10"/>
      <color rgb="FF9C9C9C"/>
      <name val="Noto Sans CJK SC"/>
      <family val="2"/>
    </font>
    <font>
      <i val="true"/>
      <sz val="10"/>
      <color rgb="FF9C9C9C"/>
      <name val="Microsoft JhengHei"/>
      <family val="0"/>
      <charset val="1"/>
    </font>
    <font>
      <b val="true"/>
      <sz val="11"/>
      <color rgb="FF1F2937"/>
      <name val="Microsoft JhengHei"/>
      <family val="0"/>
      <charset val="1"/>
    </font>
    <font>
      <i val="true"/>
      <sz val="10"/>
      <color rgb="FF808080"/>
      <name val="Noto Sans CJK SC"/>
      <family val="2"/>
    </font>
    <font>
      <i val="true"/>
      <sz val="10"/>
      <color rgb="FF808080"/>
      <name val="Microsoft JhengHe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DF2F9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DE3F5"/>
        <bgColor rgb="FFDDEBF7"/>
      </patternFill>
    </fill>
    <fill>
      <patternFill patternType="solid">
        <fgColor rgb="FFE2F0D9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2F5597"/>
        <bgColor rgb="FF1F4E79"/>
      </patternFill>
    </fill>
    <fill>
      <patternFill patternType="solid">
        <fgColor rgb="FFDDEBF7"/>
        <bgColor rgb="FFEDF2F9"/>
      </patternFill>
    </fill>
    <fill>
      <patternFill patternType="solid">
        <fgColor rgb="FFF2F2F2"/>
        <bgColor rgb="FFEDF2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2F559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F559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DE3F5"/>
          <bgColor rgb="FF000000"/>
        </patternFill>
      </fill>
    </dxf>
    <dxf>
      <fill>
        <patternFill patternType="solid">
          <fgColor rgb="FFEDF2F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4B2E83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3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9"/>
      <rgbColor rgb="FFE2F0D9"/>
      <rgbColor rgb="FFF2F2F2"/>
      <rgbColor rgb="FFA9C4E4"/>
      <rgbColor rgb="FFFF99CC"/>
      <rgbColor rgb="FFB4A0E0"/>
      <rgbColor rgb="FFF4B183"/>
      <rgbColor rgb="FF3366FF"/>
      <rgbColor rgb="FF33CCCC"/>
      <rgbColor rgb="FF99CC00"/>
      <rgbColor rgb="FFFFCC00"/>
      <rgbColor rgb="FFFF9900"/>
      <rgbColor rgb="FFFF6600"/>
      <rgbColor rgb="FF2F5597"/>
      <rgbColor rgb="FF9C9C9C"/>
      <rgbColor rgb="FF1F4E79"/>
      <rgbColor rgb="FF339966"/>
      <rgbColor rgb="FF003300"/>
      <rgbColor rgb="FF375623"/>
      <rgbColor rgb="FF993300"/>
      <rgbColor rgb="FF993366"/>
      <rgbColor rgb="FF4B2E8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J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5" min="4" style="0" width="7.5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30"/>
    <col collapsed="false" customWidth="true" hidden="false" outlineLevel="0" max="9" min="9" style="0" width="32"/>
    <col collapsed="false" customWidth="true" hidden="false" outlineLevel="0" max="10" min="10" style="0" width="5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</row>
    <row r="4" customFormat="false" ht="21.75" hidden="false" customHeight="true" outlineLevel="0" collapsed="false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  <c r="I4" s="9" t="s">
        <v>16</v>
      </c>
      <c r="J4" s="9" t="s">
        <v>17</v>
      </c>
    </row>
    <row r="5" customFormat="false" ht="15" hidden="false" customHeight="false" outlineLevel="0" collapsed="false">
      <c r="A5" s="10" t="n">
        <v>1</v>
      </c>
      <c r="B5" s="10" t="s">
        <v>18</v>
      </c>
      <c r="C5" s="11" t="s">
        <v>19</v>
      </c>
      <c r="D5" s="10"/>
      <c r="E5" s="10"/>
      <c r="F5" s="12" t="str">
        <f aca="false">IF(AND(ISNUMBER(D5),ISNUMBER(E5)),ROUND((E5-D5)*1440,0),"")</f>
        <v/>
      </c>
      <c r="G5" s="13" t="s">
        <v>4</v>
      </c>
      <c r="H5" s="14" t="s">
        <v>20</v>
      </c>
      <c r="I5" s="14" t="s">
        <v>21</v>
      </c>
      <c r="J5" s="14"/>
    </row>
    <row r="6" customFormat="false" ht="29.85" hidden="false" customHeight="false" outlineLevel="0" collapsed="false">
      <c r="A6" s="15" t="n">
        <v>1</v>
      </c>
      <c r="B6" s="15" t="s">
        <v>18</v>
      </c>
      <c r="C6" s="16" t="s">
        <v>19</v>
      </c>
      <c r="D6" s="17" t="s">
        <v>22</v>
      </c>
      <c r="E6" s="18" t="n">
        <v>0.256944444444444</v>
      </c>
      <c r="F6" s="19" t="str">
        <f aca="false">IF(AND(ISNUMBER(D6),ISNUMBER(E6)),ROUND((E6-D6)*1440,0),"")</f>
        <v/>
      </c>
      <c r="G6" s="20" t="s">
        <v>2</v>
      </c>
      <c r="H6" s="21" t="s">
        <v>23</v>
      </c>
      <c r="I6" s="21"/>
      <c r="J6" s="21" t="s">
        <v>24</v>
      </c>
    </row>
    <row r="7" customFormat="false" ht="15" hidden="false" customHeight="false" outlineLevel="0" collapsed="false">
      <c r="A7" s="22" t="n">
        <v>1</v>
      </c>
      <c r="B7" s="22" t="s">
        <v>18</v>
      </c>
      <c r="C7" s="23" t="s">
        <v>19</v>
      </c>
      <c r="D7" s="24" t="n">
        <v>0.256944444444444</v>
      </c>
      <c r="E7" s="24" t="n">
        <v>0.270833333333333</v>
      </c>
      <c r="F7" s="25" t="n">
        <f aca="false">IF(AND(ISNUMBER(D7),ISNUMBER(E7)),ROUND((E7-D7)*1440,0),"")</f>
        <v>20</v>
      </c>
      <c r="G7" s="26" t="s">
        <v>5</v>
      </c>
      <c r="H7" s="27" t="s">
        <v>25</v>
      </c>
      <c r="I7" s="27"/>
      <c r="J7" s="27"/>
    </row>
    <row r="8" customFormat="false" ht="15" hidden="false" customHeight="false" outlineLevel="0" collapsed="false">
      <c r="A8" s="22" t="n">
        <v>1</v>
      </c>
      <c r="B8" s="22" t="s">
        <v>18</v>
      </c>
      <c r="C8" s="23" t="s">
        <v>19</v>
      </c>
      <c r="D8" s="24" t="n">
        <v>0.270833333333333</v>
      </c>
      <c r="E8" s="24" t="n">
        <v>0.354166666666667</v>
      </c>
      <c r="F8" s="25" t="n">
        <f aca="false">IF(AND(ISNUMBER(D8),ISNUMBER(E8)),ROUND((E8-D8)*1440,0),"")</f>
        <v>120</v>
      </c>
      <c r="G8" s="26" t="s">
        <v>5</v>
      </c>
      <c r="H8" s="27" t="s">
        <v>26</v>
      </c>
      <c r="I8" s="27" t="s">
        <v>27</v>
      </c>
      <c r="J8" s="27" t="s">
        <v>28</v>
      </c>
    </row>
    <row r="9" customFormat="false" ht="15" hidden="false" customHeight="false" outlineLevel="0" collapsed="false">
      <c r="A9" s="15" t="n">
        <v>1</v>
      </c>
      <c r="B9" s="15" t="s">
        <v>18</v>
      </c>
      <c r="C9" s="16" t="s">
        <v>19</v>
      </c>
      <c r="D9" s="18" t="n">
        <v>0.354166666666667</v>
      </c>
      <c r="E9" s="18" t="n">
        <v>0.538194444444444</v>
      </c>
      <c r="F9" s="19" t="n">
        <f aca="false">IF(AND(ISNUMBER(D9),ISNUMBER(E9)),ROUND((E9-D9)*1440,0),"")</f>
        <v>265</v>
      </c>
      <c r="G9" s="20" t="s">
        <v>2</v>
      </c>
      <c r="H9" s="21" t="s">
        <v>29</v>
      </c>
      <c r="I9" s="28" t="s">
        <v>30</v>
      </c>
      <c r="J9" s="21" t="s">
        <v>31</v>
      </c>
    </row>
    <row r="10" customFormat="false" ht="15" hidden="false" customHeight="false" outlineLevel="0" collapsed="false">
      <c r="A10" s="22" t="n">
        <v>1</v>
      </c>
      <c r="B10" s="22" t="s">
        <v>18</v>
      </c>
      <c r="C10" s="23" t="s">
        <v>19</v>
      </c>
      <c r="D10" s="24" t="n">
        <v>0.538194444444444</v>
      </c>
      <c r="E10" s="24" t="n">
        <v>0.600694444444444</v>
      </c>
      <c r="F10" s="25" t="n">
        <f aca="false">IF(AND(ISNUMBER(D10),ISNUMBER(E10)),ROUND((E10-D10)*1440,0),"")</f>
        <v>90</v>
      </c>
      <c r="G10" s="26" t="s">
        <v>5</v>
      </c>
      <c r="H10" s="27" t="s">
        <v>32</v>
      </c>
      <c r="I10" s="27" t="s">
        <v>33</v>
      </c>
      <c r="J10" s="27" t="s">
        <v>34</v>
      </c>
    </row>
    <row r="11" customFormat="false" ht="15" hidden="false" customHeight="false" outlineLevel="0" collapsed="false">
      <c r="A11" s="22" t="n">
        <v>1</v>
      </c>
      <c r="B11" s="22" t="s">
        <v>18</v>
      </c>
      <c r="C11" s="23" t="s">
        <v>19</v>
      </c>
      <c r="D11" s="24" t="n">
        <v>0.600694444444444</v>
      </c>
      <c r="E11" s="24" t="n">
        <v>0.604166666666667</v>
      </c>
      <c r="F11" s="25" t="n">
        <f aca="false">IF(AND(ISNUMBER(D11),ISNUMBER(E11)),ROUND((E11-D11)*1440,0),"")</f>
        <v>5</v>
      </c>
      <c r="G11" s="26" t="s">
        <v>5</v>
      </c>
      <c r="H11" s="27" t="s">
        <v>35</v>
      </c>
      <c r="I11" s="27" t="s">
        <v>36</v>
      </c>
      <c r="J11" s="27"/>
    </row>
    <row r="12" customFormat="false" ht="15" hidden="false" customHeight="false" outlineLevel="0" collapsed="false">
      <c r="A12" s="15" t="n">
        <v>1</v>
      </c>
      <c r="B12" s="15" t="s">
        <v>18</v>
      </c>
      <c r="C12" s="16" t="s">
        <v>19</v>
      </c>
      <c r="D12" s="18" t="n">
        <v>0.604166666666667</v>
      </c>
      <c r="E12" s="18" t="n">
        <v>0.614583333333333</v>
      </c>
      <c r="F12" s="19" t="n">
        <f aca="false">IF(AND(ISNUMBER(D12),ISNUMBER(E12)),ROUND((E12-D12)*1440,0),"")</f>
        <v>15</v>
      </c>
      <c r="G12" s="20" t="s">
        <v>2</v>
      </c>
      <c r="H12" s="21" t="s">
        <v>37</v>
      </c>
      <c r="I12" s="21" t="s">
        <v>38</v>
      </c>
      <c r="J12" s="28"/>
    </row>
    <row r="13" customFormat="false" ht="15" hidden="false" customHeight="false" outlineLevel="0" collapsed="false">
      <c r="A13" s="22" t="n">
        <v>1</v>
      </c>
      <c r="B13" s="22" t="s">
        <v>18</v>
      </c>
      <c r="C13" s="23" t="s">
        <v>19</v>
      </c>
      <c r="D13" s="24" t="n">
        <v>0.614583333333333</v>
      </c>
      <c r="E13" s="24" t="n">
        <v>0.625</v>
      </c>
      <c r="F13" s="25" t="n">
        <f aca="false">IF(AND(ISNUMBER(D13),ISNUMBER(E13)),ROUND((E13-D13)*1440,0),"")</f>
        <v>15</v>
      </c>
      <c r="G13" s="26" t="s">
        <v>5</v>
      </c>
      <c r="H13" s="27" t="s">
        <v>39</v>
      </c>
      <c r="I13" s="29" t="s">
        <v>40</v>
      </c>
      <c r="J13" s="29"/>
    </row>
    <row r="14" customFormat="false" ht="15" hidden="false" customHeight="false" outlineLevel="0" collapsed="false">
      <c r="A14" s="15" t="n">
        <v>1</v>
      </c>
      <c r="B14" s="15" t="s">
        <v>18</v>
      </c>
      <c r="C14" s="16" t="s">
        <v>19</v>
      </c>
      <c r="D14" s="18" t="n">
        <v>0.625</v>
      </c>
      <c r="E14" s="18" t="n">
        <v>0.65625</v>
      </c>
      <c r="F14" s="19" t="n">
        <f aca="false">IF(AND(ISNUMBER(D14),ISNUMBER(E14)),ROUND((E14-D14)*1440,0),"")</f>
        <v>45</v>
      </c>
      <c r="G14" s="20" t="s">
        <v>2</v>
      </c>
      <c r="H14" s="21" t="s">
        <v>23</v>
      </c>
      <c r="I14" s="28"/>
      <c r="J14" s="21" t="s">
        <v>41</v>
      </c>
    </row>
    <row r="15" customFormat="false" ht="15" hidden="false" customHeight="false" outlineLevel="0" collapsed="false">
      <c r="A15" s="30" t="n">
        <v>1</v>
      </c>
      <c r="B15" s="30" t="s">
        <v>18</v>
      </c>
      <c r="C15" s="31" t="s">
        <v>19</v>
      </c>
      <c r="D15" s="32" t="n">
        <v>0.65625</v>
      </c>
      <c r="E15" s="32" t="n">
        <v>0.663194444444444</v>
      </c>
      <c r="F15" s="33" t="n">
        <f aca="false">IF(AND(ISNUMBER(D15),ISNUMBER(E15)),ROUND((E15-D15)*1440,0),"")</f>
        <v>10</v>
      </c>
      <c r="G15" s="31" t="s">
        <v>6</v>
      </c>
      <c r="H15" s="34" t="s">
        <v>42</v>
      </c>
      <c r="I15" s="34" t="s">
        <v>43</v>
      </c>
      <c r="J15" s="34" t="s">
        <v>44</v>
      </c>
    </row>
    <row r="16" customFormat="false" ht="15" hidden="false" customHeight="false" outlineLevel="0" collapsed="false">
      <c r="A16" s="15" t="n">
        <v>1</v>
      </c>
      <c r="B16" s="15" t="s">
        <v>18</v>
      </c>
      <c r="C16" s="16" t="s">
        <v>19</v>
      </c>
      <c r="D16" s="18" t="n">
        <v>0.663194444444444</v>
      </c>
      <c r="E16" s="18" t="n">
        <v>0.680555555555556</v>
      </c>
      <c r="F16" s="19" t="n">
        <f aca="false">IF(AND(ISNUMBER(D16),ISNUMBER(E16)),ROUND((E16-D16)*1440,0),"")</f>
        <v>25</v>
      </c>
      <c r="G16" s="20" t="s">
        <v>2</v>
      </c>
      <c r="H16" s="21" t="s">
        <v>23</v>
      </c>
      <c r="I16" s="28"/>
      <c r="J16" s="21" t="s">
        <v>45</v>
      </c>
    </row>
    <row r="17" customFormat="false" ht="15" hidden="false" customHeight="false" outlineLevel="0" collapsed="false">
      <c r="A17" s="30" t="n">
        <v>1</v>
      </c>
      <c r="B17" s="30" t="s">
        <v>18</v>
      </c>
      <c r="C17" s="31" t="s">
        <v>19</v>
      </c>
      <c r="D17" s="32" t="n">
        <v>0.680555555555556</v>
      </c>
      <c r="E17" s="32" t="n">
        <v>0.701388888888889</v>
      </c>
      <c r="F17" s="33" t="n">
        <f aca="false">IF(AND(ISNUMBER(D17),ISNUMBER(E17)),ROUND((E17-D17)*1440,0),"")</f>
        <v>30</v>
      </c>
      <c r="G17" s="31" t="s">
        <v>6</v>
      </c>
      <c r="H17" s="34" t="s">
        <v>46</v>
      </c>
      <c r="I17" s="34" t="s">
        <v>47</v>
      </c>
      <c r="J17" s="34"/>
    </row>
    <row r="18" customFormat="false" ht="15" hidden="false" customHeight="false" outlineLevel="0" collapsed="false">
      <c r="A18" s="15" t="n">
        <v>1</v>
      </c>
      <c r="B18" s="15" t="s">
        <v>18</v>
      </c>
      <c r="C18" s="16" t="s">
        <v>19</v>
      </c>
      <c r="D18" s="18" t="n">
        <v>0.701388888888889</v>
      </c>
      <c r="E18" s="18" t="n">
        <v>0.75</v>
      </c>
      <c r="F18" s="19" t="n">
        <f aca="false">IF(AND(ISNUMBER(D18),ISNUMBER(E18)),ROUND((E18-D18)*1440,0),"")</f>
        <v>70</v>
      </c>
      <c r="G18" s="20" t="s">
        <v>2</v>
      </c>
      <c r="H18" s="21" t="s">
        <v>23</v>
      </c>
      <c r="I18" s="28"/>
      <c r="J18" s="21" t="s">
        <v>48</v>
      </c>
    </row>
    <row r="19" customFormat="false" ht="15" hidden="false" customHeight="false" outlineLevel="0" collapsed="false">
      <c r="A19" s="30" t="n">
        <v>1</v>
      </c>
      <c r="B19" s="30" t="s">
        <v>18</v>
      </c>
      <c r="C19" s="31" t="s">
        <v>19</v>
      </c>
      <c r="D19" s="32" t="n">
        <v>0.75</v>
      </c>
      <c r="E19" s="32" t="n">
        <v>0.791666666666667</v>
      </c>
      <c r="F19" s="33" t="n">
        <f aca="false">IF(AND(ISNUMBER(D19),ISNUMBER(E19)),ROUND((E19-D19)*1440,0),"")</f>
        <v>60</v>
      </c>
      <c r="G19" s="31" t="s">
        <v>6</v>
      </c>
      <c r="H19" s="34" t="s">
        <v>49</v>
      </c>
      <c r="I19" s="35" t="s">
        <v>50</v>
      </c>
      <c r="J19" s="34" t="s">
        <v>51</v>
      </c>
    </row>
    <row r="20" customFormat="false" ht="15" hidden="false" customHeight="false" outlineLevel="0" collapsed="false">
      <c r="A20" s="15" t="n">
        <v>1</v>
      </c>
      <c r="B20" s="15" t="s">
        <v>18</v>
      </c>
      <c r="C20" s="16" t="s">
        <v>19</v>
      </c>
      <c r="D20" s="18" t="n">
        <v>0.791666666666667</v>
      </c>
      <c r="E20" s="18" t="n">
        <v>0.798611111111111</v>
      </c>
      <c r="F20" s="19" t="n">
        <f aca="false">IF(AND(ISNUMBER(D20),ISNUMBER(E20)),ROUND((E20-D20)*1440,0),"")</f>
        <v>10</v>
      </c>
      <c r="G20" s="20" t="s">
        <v>2</v>
      </c>
      <c r="H20" s="21" t="s">
        <v>23</v>
      </c>
      <c r="I20" s="28"/>
      <c r="J20" s="21" t="s">
        <v>52</v>
      </c>
    </row>
    <row r="21" customFormat="false" ht="15" hidden="false" customHeight="false" outlineLevel="0" collapsed="false">
      <c r="A21" s="10" t="n">
        <v>1</v>
      </c>
      <c r="B21" s="10" t="s">
        <v>18</v>
      </c>
      <c r="C21" s="11" t="s">
        <v>19</v>
      </c>
      <c r="D21" s="36" t="n">
        <v>0.798611111111111</v>
      </c>
      <c r="E21" s="36" t="n">
        <v>0.8125</v>
      </c>
      <c r="F21" s="12" t="n">
        <f aca="false">IF(AND(ISNUMBER(D21),ISNUMBER(E21)),ROUND((E21-D21)*1440,0),"")</f>
        <v>20</v>
      </c>
      <c r="G21" s="13" t="s">
        <v>4</v>
      </c>
      <c r="H21" s="37" t="s">
        <v>53</v>
      </c>
      <c r="I21" s="14" t="s">
        <v>54</v>
      </c>
      <c r="J21" s="37"/>
    </row>
    <row r="22" customFormat="false" ht="15" hidden="false" customHeight="false" outlineLevel="0" collapsed="false">
      <c r="A22" s="38" t="n">
        <v>1</v>
      </c>
      <c r="B22" s="38" t="s">
        <v>18</v>
      </c>
      <c r="C22" s="39" t="s">
        <v>19</v>
      </c>
      <c r="D22" s="40" t="n">
        <v>0.8125</v>
      </c>
      <c r="E22" s="40" t="n">
        <v>0.854166666666667</v>
      </c>
      <c r="F22" s="41" t="n">
        <f aca="false">IF(AND(ISNUMBER(D22),ISNUMBER(E22)),ROUND((E22-D22)*1440,0),"")</f>
        <v>60</v>
      </c>
      <c r="G22" s="42" t="s">
        <v>3</v>
      </c>
      <c r="H22" s="43" t="s">
        <v>55</v>
      </c>
      <c r="I22" s="43" t="s">
        <v>56</v>
      </c>
      <c r="J22" s="43" t="s">
        <v>57</v>
      </c>
    </row>
    <row r="23" customFormat="false" ht="15" hidden="false" customHeight="false" outlineLevel="0" collapsed="false">
      <c r="A23" s="30" t="n">
        <v>1</v>
      </c>
      <c r="B23" s="30" t="s">
        <v>18</v>
      </c>
      <c r="C23" s="31" t="s">
        <v>19</v>
      </c>
      <c r="D23" s="32" t="n">
        <v>0.854166666666667</v>
      </c>
      <c r="E23" s="32" t="n">
        <v>0.875</v>
      </c>
      <c r="F23" s="33" t="n">
        <f aca="false">IF(AND(ISNUMBER(D23),ISNUMBER(E23)),ROUND((E23-D23)*1440,0),"")</f>
        <v>30</v>
      </c>
      <c r="G23" s="31" t="s">
        <v>6</v>
      </c>
      <c r="H23" s="34" t="s">
        <v>58</v>
      </c>
      <c r="I23" s="34" t="s">
        <v>59</v>
      </c>
      <c r="J23" s="34" t="s">
        <v>60</v>
      </c>
    </row>
    <row r="24" customFormat="false" ht="15" hidden="false" customHeight="false" outlineLevel="0" collapsed="false">
      <c r="A24" s="44" t="n">
        <v>1</v>
      </c>
      <c r="B24" s="44" t="s">
        <v>18</v>
      </c>
      <c r="C24" s="45" t="s">
        <v>19</v>
      </c>
      <c r="D24" s="44"/>
      <c r="E24" s="44"/>
      <c r="F24" s="46" t="str">
        <f aca="false">IF(AND(ISNUMBER(D24),ISNUMBER(E24)),ROUND((E24-D24)*1440,0),"")</f>
        <v/>
      </c>
      <c r="G24" s="47" t="s">
        <v>4</v>
      </c>
      <c r="H24" s="48" t="s">
        <v>61</v>
      </c>
      <c r="I24" s="48" t="s">
        <v>54</v>
      </c>
      <c r="J24" s="48" t="s">
        <v>62</v>
      </c>
    </row>
    <row r="25" customFormat="false" ht="15" hidden="false" customHeight="false" outlineLevel="0" collapsed="false">
      <c r="A25" s="10" t="n">
        <v>2</v>
      </c>
      <c r="B25" s="10" t="s">
        <v>63</v>
      </c>
      <c r="C25" s="11" t="s">
        <v>64</v>
      </c>
      <c r="D25" s="10"/>
      <c r="E25" s="10"/>
      <c r="F25" s="12" t="str">
        <f aca="false">IF(AND(ISNUMBER(D25),ISNUMBER(E25)),ROUND((E25-D25)*1440,0),"")</f>
        <v/>
      </c>
      <c r="G25" s="13" t="s">
        <v>4</v>
      </c>
      <c r="H25" s="14" t="s">
        <v>20</v>
      </c>
      <c r="I25" s="14" t="s">
        <v>54</v>
      </c>
      <c r="J25" s="37"/>
    </row>
    <row r="26" customFormat="false" ht="15" hidden="false" customHeight="false" outlineLevel="0" collapsed="false">
      <c r="A26" s="15" t="n">
        <v>2</v>
      </c>
      <c r="B26" s="15" t="s">
        <v>63</v>
      </c>
      <c r="C26" s="16" t="s">
        <v>64</v>
      </c>
      <c r="D26" s="18" t="n">
        <v>0.190972222222222</v>
      </c>
      <c r="E26" s="18" t="n">
        <v>0.197916666666667</v>
      </c>
      <c r="F26" s="19" t="n">
        <f aca="false">IF(AND(ISNUMBER(D26),ISNUMBER(E26)),ROUND((E26-D26)*1440,0),"")</f>
        <v>10</v>
      </c>
      <c r="G26" s="20" t="s">
        <v>2</v>
      </c>
      <c r="H26" s="21" t="s">
        <v>23</v>
      </c>
      <c r="I26" s="28"/>
      <c r="J26" s="21" t="s">
        <v>48</v>
      </c>
    </row>
    <row r="27" customFormat="false" ht="15" hidden="false" customHeight="false" outlineLevel="0" collapsed="false">
      <c r="A27" s="30" t="n">
        <v>2</v>
      </c>
      <c r="B27" s="30" t="s">
        <v>63</v>
      </c>
      <c r="C27" s="31" t="s">
        <v>64</v>
      </c>
      <c r="D27" s="32" t="n">
        <v>0.197916666666667</v>
      </c>
      <c r="E27" s="32" t="n">
        <v>0.21875</v>
      </c>
      <c r="F27" s="33" t="n">
        <f aca="false">IF(AND(ISNUMBER(D27),ISNUMBER(E27)),ROUND((E27-D27)*1440,0),"")</f>
        <v>30</v>
      </c>
      <c r="G27" s="31" t="s">
        <v>6</v>
      </c>
      <c r="H27" s="34" t="s">
        <v>65</v>
      </c>
      <c r="I27" s="34" t="s">
        <v>66</v>
      </c>
      <c r="J27" s="34" t="s">
        <v>67</v>
      </c>
    </row>
    <row r="28" customFormat="false" ht="15" hidden="false" customHeight="false" outlineLevel="0" collapsed="false">
      <c r="A28" s="15" t="n">
        <v>2</v>
      </c>
      <c r="B28" s="15" t="s">
        <v>63</v>
      </c>
      <c r="C28" s="16" t="s">
        <v>64</v>
      </c>
      <c r="D28" s="18" t="n">
        <v>0.21875</v>
      </c>
      <c r="E28" s="18" t="n">
        <v>0.225694444444444</v>
      </c>
      <c r="F28" s="19" t="n">
        <f aca="false">IF(AND(ISNUMBER(D28),ISNUMBER(E28)),ROUND((E28-D28)*1440,0),"")</f>
        <v>10</v>
      </c>
      <c r="G28" s="20" t="s">
        <v>2</v>
      </c>
      <c r="H28" s="21" t="s">
        <v>23</v>
      </c>
      <c r="I28" s="28"/>
      <c r="J28" s="21" t="s">
        <v>52</v>
      </c>
    </row>
    <row r="29" customFormat="false" ht="15" hidden="false" customHeight="false" outlineLevel="0" collapsed="false">
      <c r="A29" s="10" t="n">
        <v>2</v>
      </c>
      <c r="B29" s="10" t="s">
        <v>63</v>
      </c>
      <c r="C29" s="11" t="s">
        <v>64</v>
      </c>
      <c r="D29" s="36" t="n">
        <v>0.225694444444444</v>
      </c>
      <c r="E29" s="36" t="n">
        <v>0.25</v>
      </c>
      <c r="F29" s="12" t="n">
        <f aca="false">IF(AND(ISNUMBER(D29),ISNUMBER(E29)),ROUND((E29-D29)*1440,0),"")</f>
        <v>35</v>
      </c>
      <c r="G29" s="13" t="s">
        <v>4</v>
      </c>
      <c r="H29" s="14" t="s">
        <v>68</v>
      </c>
      <c r="I29" s="14" t="s">
        <v>54</v>
      </c>
      <c r="J29" s="37"/>
    </row>
    <row r="30" customFormat="false" ht="15" hidden="false" customHeight="false" outlineLevel="0" collapsed="false">
      <c r="A30" s="38" t="n">
        <v>2</v>
      </c>
      <c r="B30" s="38" t="s">
        <v>63</v>
      </c>
      <c r="C30" s="39" t="s">
        <v>64</v>
      </c>
      <c r="D30" s="40" t="n">
        <v>0.25</v>
      </c>
      <c r="E30" s="40" t="n">
        <v>0.291666666666667</v>
      </c>
      <c r="F30" s="41" t="n">
        <f aca="false">IF(AND(ISNUMBER(D30),ISNUMBER(E30)),ROUND((E30-D30)*1440,0),"")</f>
        <v>60</v>
      </c>
      <c r="G30" s="42" t="s">
        <v>3</v>
      </c>
      <c r="H30" s="43" t="s">
        <v>69</v>
      </c>
      <c r="I30" s="43" t="s">
        <v>54</v>
      </c>
      <c r="J30" s="43" t="s">
        <v>70</v>
      </c>
    </row>
    <row r="31" customFormat="false" ht="15" hidden="false" customHeight="false" outlineLevel="0" collapsed="false">
      <c r="A31" s="15" t="n">
        <v>2</v>
      </c>
      <c r="B31" s="15" t="s">
        <v>63</v>
      </c>
      <c r="C31" s="16" t="s">
        <v>64</v>
      </c>
      <c r="D31" s="18" t="n">
        <v>0.291666666666667</v>
      </c>
      <c r="E31" s="18" t="n">
        <v>0.298611111111111</v>
      </c>
      <c r="F31" s="19" t="n">
        <f aca="false">IF(AND(ISNUMBER(D31),ISNUMBER(E31)),ROUND((E31-D31)*1440,0),"")</f>
        <v>10</v>
      </c>
      <c r="G31" s="20" t="s">
        <v>2</v>
      </c>
      <c r="H31" s="21" t="s">
        <v>71</v>
      </c>
      <c r="I31" s="28"/>
      <c r="J31" s="21" t="s">
        <v>72</v>
      </c>
    </row>
    <row r="32" customFormat="false" ht="15" hidden="false" customHeight="false" outlineLevel="0" collapsed="false">
      <c r="A32" s="30" t="n">
        <v>2</v>
      </c>
      <c r="B32" s="30" t="s">
        <v>63</v>
      </c>
      <c r="C32" s="31" t="s">
        <v>64</v>
      </c>
      <c r="D32" s="32" t="n">
        <v>0.298611111111111</v>
      </c>
      <c r="E32" s="32" t="n">
        <v>0.333333333333333</v>
      </c>
      <c r="F32" s="33" t="n">
        <f aca="false">IF(AND(ISNUMBER(D32),ISNUMBER(E32)),ROUND((E32-D32)*1440,0),"")</f>
        <v>50</v>
      </c>
      <c r="G32" s="31" t="s">
        <v>6</v>
      </c>
      <c r="H32" s="34" t="s">
        <v>73</v>
      </c>
      <c r="I32" s="34" t="s">
        <v>74</v>
      </c>
      <c r="J32" s="35"/>
    </row>
    <row r="33" customFormat="false" ht="15" hidden="false" customHeight="false" outlineLevel="0" collapsed="false">
      <c r="A33" s="15" t="n">
        <v>2</v>
      </c>
      <c r="B33" s="15" t="s">
        <v>63</v>
      </c>
      <c r="C33" s="16" t="s">
        <v>64</v>
      </c>
      <c r="D33" s="18" t="n">
        <v>0.333333333333333</v>
      </c>
      <c r="E33" s="18" t="n">
        <v>0.347222222222222</v>
      </c>
      <c r="F33" s="19" t="n">
        <f aca="false">IF(AND(ISNUMBER(D33),ISNUMBER(E33)),ROUND((E33-D33)*1440,0),"")</f>
        <v>20</v>
      </c>
      <c r="G33" s="20" t="s">
        <v>2</v>
      </c>
      <c r="H33" s="21" t="s">
        <v>23</v>
      </c>
      <c r="I33" s="28"/>
      <c r="J33" s="21" t="s">
        <v>75</v>
      </c>
    </row>
    <row r="34" customFormat="false" ht="29.85" hidden="false" customHeight="false" outlineLevel="0" collapsed="false">
      <c r="A34" s="30" t="n">
        <v>2</v>
      </c>
      <c r="B34" s="30" t="s">
        <v>63</v>
      </c>
      <c r="C34" s="31" t="s">
        <v>64</v>
      </c>
      <c r="D34" s="32" t="n">
        <v>0.347222222222222</v>
      </c>
      <c r="E34" s="32" t="n">
        <v>0.388888888888889</v>
      </c>
      <c r="F34" s="33" t="n">
        <f aca="false">IF(AND(ISNUMBER(D34),ISNUMBER(E34)),ROUND((E34-D34)*1440,0),"")</f>
        <v>60</v>
      </c>
      <c r="G34" s="31" t="s">
        <v>6</v>
      </c>
      <c r="H34" s="34" t="s">
        <v>76</v>
      </c>
      <c r="I34" s="34" t="s">
        <v>77</v>
      </c>
      <c r="J34" s="34" t="s">
        <v>78</v>
      </c>
    </row>
    <row r="35" customFormat="false" ht="15" hidden="false" customHeight="false" outlineLevel="0" collapsed="false">
      <c r="A35" s="15" t="n">
        <v>2</v>
      </c>
      <c r="B35" s="15" t="s">
        <v>63</v>
      </c>
      <c r="C35" s="16" t="s">
        <v>64</v>
      </c>
      <c r="D35" s="18" t="n">
        <v>0.388888888888889</v>
      </c>
      <c r="E35" s="18" t="n">
        <v>0.409722222222222</v>
      </c>
      <c r="F35" s="19" t="n">
        <f aca="false">IF(AND(ISNUMBER(D35),ISNUMBER(E35)),ROUND((E35-D35)*1440,0),"")</f>
        <v>30</v>
      </c>
      <c r="G35" s="20" t="s">
        <v>2</v>
      </c>
      <c r="H35" s="21" t="s">
        <v>23</v>
      </c>
      <c r="I35" s="28"/>
      <c r="J35" s="21" t="s">
        <v>79</v>
      </c>
    </row>
    <row r="36" customFormat="false" ht="29.85" hidden="false" customHeight="false" outlineLevel="0" collapsed="false">
      <c r="A36" s="30" t="n">
        <v>2</v>
      </c>
      <c r="B36" s="30" t="s">
        <v>63</v>
      </c>
      <c r="C36" s="31" t="s">
        <v>64</v>
      </c>
      <c r="D36" s="32" t="n">
        <v>0.409722222222222</v>
      </c>
      <c r="E36" s="32" t="n">
        <v>0.451388888888889</v>
      </c>
      <c r="F36" s="33" t="n">
        <f aca="false">IF(AND(ISNUMBER(D36),ISNUMBER(E36)),ROUND((E36-D36)*1440,0),"")</f>
        <v>60</v>
      </c>
      <c r="G36" s="31" t="s">
        <v>6</v>
      </c>
      <c r="H36" s="34" t="s">
        <v>80</v>
      </c>
      <c r="I36" s="34" t="s">
        <v>81</v>
      </c>
      <c r="J36" s="34" t="s">
        <v>82</v>
      </c>
    </row>
    <row r="37" customFormat="false" ht="15" hidden="false" customHeight="false" outlineLevel="0" collapsed="false">
      <c r="A37" s="15" t="n">
        <v>2</v>
      </c>
      <c r="B37" s="15" t="s">
        <v>63</v>
      </c>
      <c r="C37" s="16" t="s">
        <v>64</v>
      </c>
      <c r="D37" s="18" t="n">
        <v>0.451388888888889</v>
      </c>
      <c r="E37" s="18" t="n">
        <v>0.472222222222222</v>
      </c>
      <c r="F37" s="19" t="n">
        <f aca="false">IF(AND(ISNUMBER(D37),ISNUMBER(E37)),ROUND((E37-D37)*1440,0),"")</f>
        <v>30</v>
      </c>
      <c r="G37" s="20" t="s">
        <v>2</v>
      </c>
      <c r="H37" s="21" t="s">
        <v>23</v>
      </c>
      <c r="I37" s="28"/>
      <c r="J37" s="21" t="s">
        <v>83</v>
      </c>
    </row>
    <row r="38" customFormat="false" ht="15" hidden="false" customHeight="false" outlineLevel="0" collapsed="false">
      <c r="A38" s="38" t="n">
        <v>2</v>
      </c>
      <c r="B38" s="38" t="s">
        <v>63</v>
      </c>
      <c r="C38" s="39" t="s">
        <v>64</v>
      </c>
      <c r="D38" s="40" t="n">
        <v>0.472222222222222</v>
      </c>
      <c r="E38" s="40" t="n">
        <v>0.5</v>
      </c>
      <c r="F38" s="41" t="n">
        <f aca="false">IF(AND(ISNUMBER(D38),ISNUMBER(E38)),ROUND((E38-D38)*1440,0),"")</f>
        <v>40</v>
      </c>
      <c r="G38" s="42" t="s">
        <v>3</v>
      </c>
      <c r="H38" s="43" t="s">
        <v>84</v>
      </c>
      <c r="I38" s="49" t="s">
        <v>85</v>
      </c>
      <c r="J38" s="43" t="s">
        <v>86</v>
      </c>
    </row>
    <row r="39" customFormat="false" ht="15" hidden="false" customHeight="false" outlineLevel="0" collapsed="false">
      <c r="A39" s="30" t="n">
        <v>2</v>
      </c>
      <c r="B39" s="30" t="s">
        <v>63</v>
      </c>
      <c r="C39" s="31" t="s">
        <v>64</v>
      </c>
      <c r="D39" s="32" t="n">
        <v>0.5</v>
      </c>
      <c r="E39" s="32" t="n">
        <v>0.583333333333333</v>
      </c>
      <c r="F39" s="33" t="n">
        <f aca="false">IF(AND(ISNUMBER(D39),ISNUMBER(E39)),ROUND((E39-D39)*1440,0),"")</f>
        <v>120</v>
      </c>
      <c r="G39" s="31" t="s">
        <v>6</v>
      </c>
      <c r="H39" s="34" t="s">
        <v>87</v>
      </c>
      <c r="I39" s="34" t="s">
        <v>88</v>
      </c>
      <c r="J39" s="34" t="s">
        <v>89</v>
      </c>
    </row>
    <row r="40" customFormat="false" ht="15" hidden="false" customHeight="false" outlineLevel="0" collapsed="false">
      <c r="A40" s="15" t="n">
        <v>2</v>
      </c>
      <c r="B40" s="15" t="s">
        <v>63</v>
      </c>
      <c r="C40" s="16" t="s">
        <v>64</v>
      </c>
      <c r="D40" s="18" t="n">
        <v>0.583333333333333</v>
      </c>
      <c r="E40" s="18" t="n">
        <v>0.625</v>
      </c>
      <c r="F40" s="19" t="n">
        <f aca="false">IF(AND(ISNUMBER(D40),ISNUMBER(E40)),ROUND((E40-D40)*1440,0),"")</f>
        <v>60</v>
      </c>
      <c r="G40" s="20" t="s">
        <v>2</v>
      </c>
      <c r="H40" s="21" t="s">
        <v>23</v>
      </c>
      <c r="I40" s="28"/>
      <c r="J40" s="21" t="s">
        <v>90</v>
      </c>
    </row>
    <row r="41" customFormat="false" ht="15" hidden="false" customHeight="false" outlineLevel="0" collapsed="false">
      <c r="A41" s="30" t="n">
        <v>2</v>
      </c>
      <c r="B41" s="30" t="s">
        <v>63</v>
      </c>
      <c r="C41" s="31" t="s">
        <v>64</v>
      </c>
      <c r="D41" s="32" t="n">
        <v>0.625</v>
      </c>
      <c r="E41" s="32" t="n">
        <v>0.770833333333333</v>
      </c>
      <c r="F41" s="33" t="n">
        <f aca="false">IF(AND(ISNUMBER(D41),ISNUMBER(E41)),ROUND((E41-D41)*1440,0),"")</f>
        <v>210</v>
      </c>
      <c r="G41" s="31" t="s">
        <v>6</v>
      </c>
      <c r="H41" s="34" t="s">
        <v>91</v>
      </c>
      <c r="I41" s="34" t="s">
        <v>92</v>
      </c>
      <c r="J41" s="34" t="s">
        <v>93</v>
      </c>
    </row>
    <row r="42" customFormat="false" ht="15" hidden="false" customHeight="false" outlineLevel="0" collapsed="false">
      <c r="A42" s="15" t="n">
        <v>2</v>
      </c>
      <c r="B42" s="15" t="s">
        <v>63</v>
      </c>
      <c r="C42" s="16" t="s">
        <v>64</v>
      </c>
      <c r="D42" s="18" t="n">
        <v>0.770833333333333</v>
      </c>
      <c r="E42" s="18" t="n">
        <v>0.805555555555556</v>
      </c>
      <c r="F42" s="19" t="n">
        <f aca="false">IF(AND(ISNUMBER(D42),ISNUMBER(E42)),ROUND((E42-D42)*1440,0),"")</f>
        <v>50</v>
      </c>
      <c r="G42" s="20" t="s">
        <v>2</v>
      </c>
      <c r="H42" s="21" t="s">
        <v>23</v>
      </c>
      <c r="I42" s="28"/>
      <c r="J42" s="21" t="s">
        <v>94</v>
      </c>
    </row>
    <row r="43" customFormat="false" ht="15" hidden="false" customHeight="false" outlineLevel="0" collapsed="false">
      <c r="A43" s="10" t="n">
        <v>2</v>
      </c>
      <c r="B43" s="10" t="s">
        <v>63</v>
      </c>
      <c r="C43" s="11" t="s">
        <v>64</v>
      </c>
      <c r="D43" s="36" t="n">
        <v>0.805555555555556</v>
      </c>
      <c r="E43" s="36" t="n">
        <v>0.819444444444444</v>
      </c>
      <c r="F43" s="12" t="n">
        <f aca="false">IF(AND(ISNUMBER(D43),ISNUMBER(E43)),ROUND((E43-D43)*1440,0),"")</f>
        <v>20</v>
      </c>
      <c r="G43" s="13" t="s">
        <v>4</v>
      </c>
      <c r="H43" s="37" t="s">
        <v>53</v>
      </c>
      <c r="I43" s="14" t="s">
        <v>95</v>
      </c>
      <c r="J43" s="37" t="s">
        <v>96</v>
      </c>
    </row>
    <row r="44" customFormat="false" ht="15" hidden="false" customHeight="false" outlineLevel="0" collapsed="false">
      <c r="A44" s="15" t="n">
        <v>2</v>
      </c>
      <c r="B44" s="15" t="s">
        <v>63</v>
      </c>
      <c r="C44" s="16" t="s">
        <v>64</v>
      </c>
      <c r="D44" s="18" t="n">
        <v>0.819444444444444</v>
      </c>
      <c r="E44" s="18" t="n">
        <v>0.822916666666667</v>
      </c>
      <c r="F44" s="19" t="n">
        <f aca="false">IF(AND(ISNUMBER(D44),ISNUMBER(E44)),ROUND((E44-D44)*1440,0),"")</f>
        <v>5</v>
      </c>
      <c r="G44" s="20" t="s">
        <v>2</v>
      </c>
      <c r="H44" s="21" t="s">
        <v>23</v>
      </c>
      <c r="I44" s="28"/>
      <c r="J44" s="21" t="s">
        <v>97</v>
      </c>
    </row>
    <row r="45" customFormat="false" ht="15" hidden="false" customHeight="false" outlineLevel="0" collapsed="false">
      <c r="A45" s="38" t="n">
        <v>2</v>
      </c>
      <c r="B45" s="38" t="s">
        <v>63</v>
      </c>
      <c r="C45" s="39" t="s">
        <v>64</v>
      </c>
      <c r="D45" s="40" t="n">
        <v>0.822916666666667</v>
      </c>
      <c r="E45" s="40" t="n">
        <v>0.864583333333333</v>
      </c>
      <c r="F45" s="41" t="n">
        <f aca="false">IF(AND(ISNUMBER(D45),ISNUMBER(E45)),ROUND((E45-D45)*1440,0),"")</f>
        <v>60</v>
      </c>
      <c r="G45" s="42" t="s">
        <v>3</v>
      </c>
      <c r="H45" s="43" t="s">
        <v>98</v>
      </c>
      <c r="I45" s="49" t="s">
        <v>99</v>
      </c>
      <c r="J45" s="43" t="s">
        <v>100</v>
      </c>
    </row>
    <row r="46" customFormat="false" ht="15" hidden="false" customHeight="false" outlineLevel="0" collapsed="false">
      <c r="A46" s="30" t="n">
        <v>2</v>
      </c>
      <c r="B46" s="30" t="s">
        <v>63</v>
      </c>
      <c r="C46" s="31" t="s">
        <v>64</v>
      </c>
      <c r="D46" s="32" t="n">
        <v>0.864583333333333</v>
      </c>
      <c r="E46" s="32" t="n">
        <v>0.875</v>
      </c>
      <c r="F46" s="33" t="n">
        <f aca="false">IF(AND(ISNUMBER(D46),ISNUMBER(E46)),ROUND((E46-D46)*1440,0),"")</f>
        <v>15</v>
      </c>
      <c r="G46" s="31" t="s">
        <v>6</v>
      </c>
      <c r="H46" s="34" t="s">
        <v>101</v>
      </c>
      <c r="I46" s="34" t="s">
        <v>102</v>
      </c>
      <c r="J46" s="35"/>
    </row>
    <row r="47" customFormat="false" ht="15" hidden="false" customHeight="false" outlineLevel="0" collapsed="false">
      <c r="A47" s="15" t="n">
        <v>2</v>
      </c>
      <c r="B47" s="15" t="s">
        <v>63</v>
      </c>
      <c r="C47" s="16" t="s">
        <v>64</v>
      </c>
      <c r="D47" s="18" t="n">
        <v>0.875</v>
      </c>
      <c r="E47" s="18" t="n">
        <v>0.878472222222222</v>
      </c>
      <c r="F47" s="19" t="n">
        <f aca="false">IF(AND(ISNUMBER(D47),ISNUMBER(E47)),ROUND((E47-D47)*1440,0),"")</f>
        <v>5</v>
      </c>
      <c r="G47" s="20" t="s">
        <v>2</v>
      </c>
      <c r="H47" s="21" t="s">
        <v>23</v>
      </c>
      <c r="I47" s="28"/>
      <c r="J47" s="21" t="s">
        <v>94</v>
      </c>
    </row>
    <row r="48" customFormat="false" ht="15" hidden="false" customHeight="false" outlineLevel="0" collapsed="false">
      <c r="A48" s="44" t="n">
        <v>2</v>
      </c>
      <c r="B48" s="44" t="s">
        <v>63</v>
      </c>
      <c r="C48" s="45" t="s">
        <v>64</v>
      </c>
      <c r="D48" s="44"/>
      <c r="E48" s="44"/>
      <c r="F48" s="46" t="str">
        <f aca="false">IF(AND(ISNUMBER(D48),ISNUMBER(E48)),ROUND((E48-D48)*1440,0),"")</f>
        <v/>
      </c>
      <c r="G48" s="47" t="s">
        <v>4</v>
      </c>
      <c r="H48" s="48" t="s">
        <v>61</v>
      </c>
      <c r="I48" s="48" t="s">
        <v>95</v>
      </c>
      <c r="J48" s="50" t="s">
        <v>103</v>
      </c>
    </row>
    <row r="49" customFormat="false" ht="15" hidden="false" customHeight="false" outlineLevel="0" collapsed="false">
      <c r="A49" s="10" t="n">
        <v>3</v>
      </c>
      <c r="B49" s="10" t="s">
        <v>104</v>
      </c>
      <c r="C49" s="11" t="s">
        <v>105</v>
      </c>
      <c r="D49" s="10"/>
      <c r="E49" s="10"/>
      <c r="F49" s="12" t="str">
        <f aca="false">IF(AND(ISNUMBER(D49),ISNUMBER(E49)),ROUND((E49-D49)*1440,0),"")</f>
        <v/>
      </c>
      <c r="G49" s="13" t="s">
        <v>4</v>
      </c>
      <c r="H49" s="14" t="s">
        <v>106</v>
      </c>
      <c r="I49" s="14" t="s">
        <v>95</v>
      </c>
      <c r="J49" s="37"/>
    </row>
    <row r="50" customFormat="false" ht="15" hidden="false" customHeight="false" outlineLevel="0" collapsed="false">
      <c r="A50" s="15" t="n">
        <v>3</v>
      </c>
      <c r="B50" s="15" t="s">
        <v>104</v>
      </c>
      <c r="C50" s="16" t="s">
        <v>105</v>
      </c>
      <c r="D50" s="18" t="n">
        <v>0.350694444444444</v>
      </c>
      <c r="E50" s="18" t="n">
        <v>0.351388888888889</v>
      </c>
      <c r="F50" s="19" t="n">
        <f aca="false">IF(AND(ISNUMBER(D50),ISNUMBER(E50)),ROUND((E50-D50)*1440,0),"")</f>
        <v>1</v>
      </c>
      <c r="G50" s="20" t="s">
        <v>2</v>
      </c>
      <c r="H50" s="21" t="s">
        <v>23</v>
      </c>
      <c r="I50" s="28"/>
      <c r="J50" s="28"/>
    </row>
    <row r="51" customFormat="false" ht="15" hidden="false" customHeight="false" outlineLevel="0" collapsed="false">
      <c r="A51" s="38" t="n">
        <v>3</v>
      </c>
      <c r="B51" s="38" t="s">
        <v>104</v>
      </c>
      <c r="C51" s="39" t="s">
        <v>105</v>
      </c>
      <c r="D51" s="40" t="n">
        <v>0.351388888888889</v>
      </c>
      <c r="E51" s="40" t="n">
        <v>0.357638888888889</v>
      </c>
      <c r="F51" s="41" t="n">
        <f aca="false">IF(AND(ISNUMBER(D51),ISNUMBER(E51)),ROUND((E51-D51)*1440,0),"")</f>
        <v>9</v>
      </c>
      <c r="G51" s="42" t="s">
        <v>3</v>
      </c>
      <c r="H51" s="43" t="s">
        <v>107</v>
      </c>
      <c r="I51" s="43" t="s">
        <v>108</v>
      </c>
      <c r="J51" s="43" t="s">
        <v>109</v>
      </c>
    </row>
    <row r="52" customFormat="false" ht="15" hidden="false" customHeight="false" outlineLevel="0" collapsed="false">
      <c r="A52" s="15" t="n">
        <v>3</v>
      </c>
      <c r="B52" s="15" t="s">
        <v>104</v>
      </c>
      <c r="C52" s="16" t="s">
        <v>105</v>
      </c>
      <c r="D52" s="18" t="n">
        <v>0.357638888888889</v>
      </c>
      <c r="E52" s="18" t="n">
        <v>0.375</v>
      </c>
      <c r="F52" s="19" t="n">
        <f aca="false">IF(AND(ISNUMBER(D52),ISNUMBER(E52)),ROUND((E52-D52)*1440,0),"")</f>
        <v>25</v>
      </c>
      <c r="G52" s="20" t="s">
        <v>2</v>
      </c>
      <c r="H52" s="21" t="s">
        <v>23</v>
      </c>
      <c r="I52" s="28"/>
      <c r="J52" s="21" t="s">
        <v>110</v>
      </c>
    </row>
    <row r="53" customFormat="false" ht="15" hidden="false" customHeight="false" outlineLevel="0" collapsed="false">
      <c r="A53" s="22" t="n">
        <v>3</v>
      </c>
      <c r="B53" s="22" t="s">
        <v>104</v>
      </c>
      <c r="C53" s="23" t="s">
        <v>105</v>
      </c>
      <c r="D53" s="24" t="n">
        <v>0.375</v>
      </c>
      <c r="E53" s="24" t="n">
        <v>0.395833333333333</v>
      </c>
      <c r="F53" s="25" t="n">
        <f aca="false">IF(AND(ISNUMBER(D53),ISNUMBER(E53)),ROUND((E53-D53)*1440,0),"")</f>
        <v>30</v>
      </c>
      <c r="G53" s="26" t="s">
        <v>5</v>
      </c>
      <c r="H53" s="27" t="s">
        <v>111</v>
      </c>
      <c r="I53" s="27" t="s">
        <v>112</v>
      </c>
      <c r="J53" s="27" t="s">
        <v>113</v>
      </c>
    </row>
    <row r="54" customFormat="false" ht="29.85" hidden="false" customHeight="false" outlineLevel="0" collapsed="false">
      <c r="A54" s="30" t="n">
        <v>3</v>
      </c>
      <c r="B54" s="30" t="s">
        <v>104</v>
      </c>
      <c r="C54" s="31" t="s">
        <v>105</v>
      </c>
      <c r="D54" s="32" t="n">
        <v>0.395833333333333</v>
      </c>
      <c r="E54" s="32" t="n">
        <v>0.4375</v>
      </c>
      <c r="F54" s="33" t="n">
        <f aca="false">IF(AND(ISNUMBER(D54),ISNUMBER(E54)),ROUND((E54-D54)*1440,0),"")</f>
        <v>60</v>
      </c>
      <c r="G54" s="31" t="s">
        <v>6</v>
      </c>
      <c r="H54" s="34" t="s">
        <v>114</v>
      </c>
      <c r="I54" s="34" t="s">
        <v>112</v>
      </c>
      <c r="J54" s="34" t="s">
        <v>115</v>
      </c>
    </row>
    <row r="55" customFormat="false" ht="15" hidden="false" customHeight="false" outlineLevel="0" collapsed="false">
      <c r="A55" s="30" t="n">
        <v>3</v>
      </c>
      <c r="B55" s="30" t="s">
        <v>104</v>
      </c>
      <c r="C55" s="31" t="s">
        <v>105</v>
      </c>
      <c r="D55" s="32" t="n">
        <v>0.4375</v>
      </c>
      <c r="E55" s="32" t="n">
        <v>0.479166666666667</v>
      </c>
      <c r="F55" s="33" t="n">
        <f aca="false">IF(AND(ISNUMBER(D55),ISNUMBER(E55)),ROUND((E55-D55)*1440,0),"")</f>
        <v>60</v>
      </c>
      <c r="G55" s="31" t="s">
        <v>6</v>
      </c>
      <c r="H55" s="34" t="s">
        <v>116</v>
      </c>
      <c r="I55" s="34" t="s">
        <v>112</v>
      </c>
      <c r="J55" s="35"/>
    </row>
    <row r="56" customFormat="false" ht="15" hidden="false" customHeight="false" outlineLevel="0" collapsed="false">
      <c r="A56" s="30" t="n">
        <v>3</v>
      </c>
      <c r="B56" s="30" t="s">
        <v>104</v>
      </c>
      <c r="C56" s="31" t="s">
        <v>105</v>
      </c>
      <c r="D56" s="32" t="n">
        <v>0.479166666666667</v>
      </c>
      <c r="E56" s="32" t="n">
        <v>0.5</v>
      </c>
      <c r="F56" s="33" t="n">
        <f aca="false">IF(AND(ISNUMBER(D56),ISNUMBER(E56)),ROUND((E56-D56)*1440,0),"")</f>
        <v>30</v>
      </c>
      <c r="G56" s="31" t="s">
        <v>6</v>
      </c>
      <c r="H56" s="34" t="s">
        <v>117</v>
      </c>
      <c r="I56" s="34" t="s">
        <v>112</v>
      </c>
      <c r="J56" s="34" t="s">
        <v>118</v>
      </c>
    </row>
    <row r="57" customFormat="false" ht="15" hidden="false" customHeight="false" outlineLevel="0" collapsed="false">
      <c r="A57" s="30" t="n">
        <v>3</v>
      </c>
      <c r="B57" s="30" t="s">
        <v>104</v>
      </c>
      <c r="C57" s="31" t="s">
        <v>105</v>
      </c>
      <c r="D57" s="32" t="n">
        <v>0.5</v>
      </c>
      <c r="E57" s="32" t="n">
        <v>0.520833333333333</v>
      </c>
      <c r="F57" s="33" t="n">
        <f aca="false">IF(AND(ISNUMBER(D57),ISNUMBER(E57)),ROUND((E57-D57)*1440,0),"")</f>
        <v>30</v>
      </c>
      <c r="G57" s="31" t="s">
        <v>6</v>
      </c>
      <c r="H57" s="34" t="s">
        <v>119</v>
      </c>
      <c r="I57" s="34" t="s">
        <v>112</v>
      </c>
      <c r="J57" s="34" t="s">
        <v>118</v>
      </c>
    </row>
    <row r="58" customFormat="false" ht="15" hidden="false" customHeight="false" outlineLevel="0" collapsed="false">
      <c r="A58" s="22" t="n">
        <v>3</v>
      </c>
      <c r="B58" s="22" t="s">
        <v>104</v>
      </c>
      <c r="C58" s="23" t="s">
        <v>105</v>
      </c>
      <c r="D58" s="24" t="n">
        <v>0.520833333333333</v>
      </c>
      <c r="E58" s="24" t="n">
        <v>0.541666666666667</v>
      </c>
      <c r="F58" s="25" t="n">
        <f aca="false">IF(AND(ISNUMBER(D58),ISNUMBER(E58)),ROUND((E58-D58)*1440,0),"")</f>
        <v>30</v>
      </c>
      <c r="G58" s="26" t="s">
        <v>5</v>
      </c>
      <c r="H58" s="27" t="s">
        <v>120</v>
      </c>
      <c r="I58" s="27" t="s">
        <v>112</v>
      </c>
      <c r="J58" s="29"/>
    </row>
    <row r="59" customFormat="false" ht="15" hidden="false" customHeight="false" outlineLevel="0" collapsed="false">
      <c r="A59" s="38" t="n">
        <v>3</v>
      </c>
      <c r="B59" s="38" t="s">
        <v>104</v>
      </c>
      <c r="C59" s="39" t="s">
        <v>105</v>
      </c>
      <c r="D59" s="40" t="n">
        <v>0.541666666666667</v>
      </c>
      <c r="E59" s="40" t="n">
        <v>0.583333333333333</v>
      </c>
      <c r="F59" s="41" t="n">
        <f aca="false">IF(AND(ISNUMBER(D59),ISNUMBER(E59)),ROUND((E59-D59)*1440,0),"")</f>
        <v>60</v>
      </c>
      <c r="G59" s="42" t="s">
        <v>3</v>
      </c>
      <c r="H59" s="43" t="s">
        <v>121</v>
      </c>
      <c r="I59" s="43" t="s">
        <v>112</v>
      </c>
      <c r="J59" s="43" t="s">
        <v>122</v>
      </c>
    </row>
    <row r="60" customFormat="false" ht="15" hidden="false" customHeight="false" outlineLevel="0" collapsed="false">
      <c r="A60" s="15" t="n">
        <v>3</v>
      </c>
      <c r="B60" s="15" t="s">
        <v>104</v>
      </c>
      <c r="C60" s="16" t="s">
        <v>105</v>
      </c>
      <c r="D60" s="18" t="n">
        <v>0.583333333333333</v>
      </c>
      <c r="E60" s="18" t="n">
        <v>0.614583333333333</v>
      </c>
      <c r="F60" s="19" t="n">
        <f aca="false">IF(AND(ISNUMBER(D60),ISNUMBER(E60)),ROUND((E60-D60)*1440,0),"")</f>
        <v>45</v>
      </c>
      <c r="G60" s="20" t="s">
        <v>2</v>
      </c>
      <c r="H60" s="21" t="s">
        <v>23</v>
      </c>
      <c r="I60" s="28"/>
      <c r="J60" s="21" t="s">
        <v>123</v>
      </c>
    </row>
    <row r="61" customFormat="false" ht="15" hidden="false" customHeight="false" outlineLevel="0" collapsed="false">
      <c r="A61" s="15" t="n">
        <v>3</v>
      </c>
      <c r="B61" s="15" t="s">
        <v>104</v>
      </c>
      <c r="C61" s="16" t="s">
        <v>105</v>
      </c>
      <c r="D61" s="18" t="n">
        <v>0.614583333333333</v>
      </c>
      <c r="E61" s="18" t="n">
        <v>0.621527777777778</v>
      </c>
      <c r="F61" s="19" t="n">
        <f aca="false">IF(AND(ISNUMBER(D61),ISNUMBER(E61)),ROUND((E61-D61)*1440,0),"")</f>
        <v>10</v>
      </c>
      <c r="G61" s="20" t="s">
        <v>2</v>
      </c>
      <c r="H61" s="21" t="s">
        <v>124</v>
      </c>
      <c r="I61" s="28"/>
      <c r="J61" s="21" t="s">
        <v>125</v>
      </c>
    </row>
    <row r="62" customFormat="false" ht="15" hidden="false" customHeight="false" outlineLevel="0" collapsed="false">
      <c r="A62" s="30" t="n">
        <v>3</v>
      </c>
      <c r="B62" s="30" t="s">
        <v>104</v>
      </c>
      <c r="C62" s="31" t="s">
        <v>105</v>
      </c>
      <c r="D62" s="32" t="n">
        <v>0.621527777777778</v>
      </c>
      <c r="E62" s="32" t="n">
        <v>0.649305555555556</v>
      </c>
      <c r="F62" s="33" t="n">
        <f aca="false">IF(AND(ISNUMBER(D62),ISNUMBER(E62)),ROUND((E62-D62)*1440,0),"")</f>
        <v>40</v>
      </c>
      <c r="G62" s="31" t="s">
        <v>6</v>
      </c>
      <c r="H62" s="34" t="s">
        <v>126</v>
      </c>
      <c r="I62" s="34" t="s">
        <v>127</v>
      </c>
      <c r="J62" s="35" t="s">
        <v>128</v>
      </c>
    </row>
    <row r="63" customFormat="false" ht="15" hidden="false" customHeight="false" outlineLevel="0" collapsed="false">
      <c r="A63" s="30" t="n">
        <v>3</v>
      </c>
      <c r="B63" s="30" t="s">
        <v>104</v>
      </c>
      <c r="C63" s="31" t="s">
        <v>105</v>
      </c>
      <c r="D63" s="32" t="n">
        <v>0.649305555555556</v>
      </c>
      <c r="E63" s="32" t="n">
        <v>0.690972222222222</v>
      </c>
      <c r="F63" s="33" t="n">
        <f aca="false">IF(AND(ISNUMBER(D63),ISNUMBER(E63)),ROUND((E63-D63)*1440,0),"")</f>
        <v>60</v>
      </c>
      <c r="G63" s="31" t="s">
        <v>6</v>
      </c>
      <c r="H63" s="34" t="s">
        <v>129</v>
      </c>
      <c r="I63" s="34" t="s">
        <v>130</v>
      </c>
      <c r="J63" s="35" t="s">
        <v>131</v>
      </c>
    </row>
    <row r="64" customFormat="false" ht="15" hidden="false" customHeight="false" outlineLevel="0" collapsed="false">
      <c r="A64" s="15" t="n">
        <v>3</v>
      </c>
      <c r="B64" s="15" t="s">
        <v>104</v>
      </c>
      <c r="C64" s="16" t="s">
        <v>105</v>
      </c>
      <c r="D64" s="18" t="n">
        <v>0.690972222222222</v>
      </c>
      <c r="E64" s="18" t="n">
        <v>0.701388888888889</v>
      </c>
      <c r="F64" s="19" t="n">
        <f aca="false">IF(AND(ISNUMBER(D64),ISNUMBER(E64)),ROUND((E64-D64)*1440,0),"")</f>
        <v>15</v>
      </c>
      <c r="G64" s="20" t="s">
        <v>2</v>
      </c>
      <c r="H64" s="21" t="s">
        <v>132</v>
      </c>
      <c r="I64" s="28"/>
      <c r="J64" s="28"/>
    </row>
    <row r="65" customFormat="false" ht="15" hidden="false" customHeight="false" outlineLevel="0" collapsed="false">
      <c r="A65" s="30" t="n">
        <v>3</v>
      </c>
      <c r="B65" s="30" t="s">
        <v>104</v>
      </c>
      <c r="C65" s="31" t="s">
        <v>105</v>
      </c>
      <c r="D65" s="32" t="n">
        <v>0.701388888888889</v>
      </c>
      <c r="E65" s="32" t="n">
        <v>0.732638888888889</v>
      </c>
      <c r="F65" s="33" t="n">
        <f aca="false">IF(AND(ISNUMBER(D65),ISNUMBER(E65)),ROUND((E65-D65)*1440,0),"")</f>
        <v>45</v>
      </c>
      <c r="G65" s="31" t="s">
        <v>6</v>
      </c>
      <c r="H65" s="34" t="s">
        <v>133</v>
      </c>
      <c r="I65" s="34" t="s">
        <v>134</v>
      </c>
      <c r="J65" s="34" t="s">
        <v>135</v>
      </c>
    </row>
    <row r="66" customFormat="false" ht="15" hidden="false" customHeight="false" outlineLevel="0" collapsed="false">
      <c r="A66" s="15" t="n">
        <v>3</v>
      </c>
      <c r="B66" s="15" t="s">
        <v>104</v>
      </c>
      <c r="C66" s="16" t="s">
        <v>105</v>
      </c>
      <c r="D66" s="18" t="n">
        <v>0.732638888888889</v>
      </c>
      <c r="E66" s="18" t="n">
        <v>0.743055555555556</v>
      </c>
      <c r="F66" s="19" t="n">
        <f aca="false">IF(AND(ISNUMBER(D66),ISNUMBER(E66)),ROUND((E66-D66)*1440,0),"")</f>
        <v>15</v>
      </c>
      <c r="G66" s="20" t="s">
        <v>2</v>
      </c>
      <c r="H66" s="21" t="s">
        <v>136</v>
      </c>
      <c r="I66" s="28"/>
      <c r="J66" s="28"/>
    </row>
    <row r="67" customFormat="false" ht="15" hidden="false" customHeight="false" outlineLevel="0" collapsed="false">
      <c r="A67" s="15" t="n">
        <v>3</v>
      </c>
      <c r="B67" s="15" t="s">
        <v>104</v>
      </c>
      <c r="C67" s="16" t="s">
        <v>105</v>
      </c>
      <c r="D67" s="18" t="n">
        <v>0.743055555555556</v>
      </c>
      <c r="E67" s="18" t="n">
        <v>0.75</v>
      </c>
      <c r="F67" s="19" t="n">
        <f aca="false">IF(AND(ISNUMBER(D67),ISNUMBER(E67)),ROUND((E67-D67)*1440,0),"")</f>
        <v>10</v>
      </c>
      <c r="G67" s="20" t="s">
        <v>2</v>
      </c>
      <c r="H67" s="21" t="s">
        <v>23</v>
      </c>
      <c r="I67" s="28"/>
      <c r="J67" s="21" t="s">
        <v>137</v>
      </c>
    </row>
    <row r="68" customFormat="false" ht="15" hidden="false" customHeight="false" outlineLevel="0" collapsed="false">
      <c r="A68" s="30" t="n">
        <v>3</v>
      </c>
      <c r="B68" s="30" t="s">
        <v>104</v>
      </c>
      <c r="C68" s="31" t="s">
        <v>105</v>
      </c>
      <c r="D68" s="32" t="n">
        <v>0.75</v>
      </c>
      <c r="E68" s="32" t="n">
        <v>0.770833333333333</v>
      </c>
      <c r="F68" s="33" t="n">
        <f aca="false">IF(AND(ISNUMBER(D68),ISNUMBER(E68)),ROUND((E68-D68)*1440,0),"")</f>
        <v>30</v>
      </c>
      <c r="G68" s="31" t="s">
        <v>6</v>
      </c>
      <c r="H68" s="34" t="s">
        <v>138</v>
      </c>
      <c r="I68" s="34" t="s">
        <v>139</v>
      </c>
      <c r="J68" s="35"/>
    </row>
    <row r="69" customFormat="false" ht="15" hidden="false" customHeight="false" outlineLevel="0" collapsed="false">
      <c r="A69" s="38" t="n">
        <v>3</v>
      </c>
      <c r="B69" s="38" t="s">
        <v>104</v>
      </c>
      <c r="C69" s="39" t="s">
        <v>105</v>
      </c>
      <c r="D69" s="40" t="n">
        <v>0.770833333333333</v>
      </c>
      <c r="E69" s="40" t="n">
        <v>0.833333333333333</v>
      </c>
      <c r="F69" s="41" t="n">
        <f aca="false">IF(AND(ISNUMBER(D69),ISNUMBER(E69)),ROUND((E69-D69)*1440,0),"")</f>
        <v>90</v>
      </c>
      <c r="G69" s="42" t="s">
        <v>3</v>
      </c>
      <c r="H69" s="43" t="s">
        <v>140</v>
      </c>
      <c r="I69" s="43" t="s">
        <v>141</v>
      </c>
      <c r="J69" s="43" t="s">
        <v>142</v>
      </c>
    </row>
    <row r="70" customFormat="false" ht="15" hidden="false" customHeight="false" outlineLevel="0" collapsed="false">
      <c r="A70" s="15" t="n">
        <v>3</v>
      </c>
      <c r="B70" s="15" t="s">
        <v>104</v>
      </c>
      <c r="C70" s="16" t="s">
        <v>105</v>
      </c>
      <c r="D70" s="18" t="n">
        <v>0.833333333333333</v>
      </c>
      <c r="E70" s="18" t="n">
        <v>0.854166666666667</v>
      </c>
      <c r="F70" s="19" t="n">
        <f aca="false">IF(AND(ISNUMBER(D70),ISNUMBER(E70)),ROUND((E70-D70)*1440,0),"")</f>
        <v>30</v>
      </c>
      <c r="G70" s="20" t="s">
        <v>2</v>
      </c>
      <c r="H70" s="21" t="s">
        <v>23</v>
      </c>
      <c r="I70" s="28"/>
      <c r="J70" s="21" t="s">
        <v>94</v>
      </c>
    </row>
    <row r="71" customFormat="false" ht="15" hidden="false" customHeight="false" outlineLevel="0" collapsed="false">
      <c r="A71" s="44" t="n">
        <v>3</v>
      </c>
      <c r="B71" s="44" t="s">
        <v>104</v>
      </c>
      <c r="C71" s="45" t="s">
        <v>105</v>
      </c>
      <c r="D71" s="44"/>
      <c r="E71" s="44"/>
      <c r="F71" s="46" t="str">
        <f aca="false">IF(AND(ISNUMBER(D71),ISNUMBER(E71)),ROUND((E71-D71)*1440,0),"")</f>
        <v/>
      </c>
      <c r="G71" s="47" t="s">
        <v>4</v>
      </c>
      <c r="H71" s="48" t="s">
        <v>61</v>
      </c>
      <c r="I71" s="48" t="s">
        <v>95</v>
      </c>
      <c r="J71" s="48" t="s">
        <v>143</v>
      </c>
    </row>
    <row r="72" customFormat="false" ht="15" hidden="false" customHeight="false" outlineLevel="0" collapsed="false">
      <c r="A72" s="10" t="n">
        <v>4</v>
      </c>
      <c r="B72" s="10" t="s">
        <v>144</v>
      </c>
      <c r="C72" s="11" t="s">
        <v>145</v>
      </c>
      <c r="D72" s="10"/>
      <c r="E72" s="10"/>
      <c r="F72" s="12" t="str">
        <f aca="false">IF(AND(ISNUMBER(D72),ISNUMBER(E72)),ROUND((E72-D72)*1440,0),"")</f>
        <v/>
      </c>
      <c r="G72" s="13" t="s">
        <v>4</v>
      </c>
      <c r="H72" s="14" t="s">
        <v>20</v>
      </c>
      <c r="I72" s="14" t="s">
        <v>95</v>
      </c>
      <c r="J72" s="37"/>
    </row>
    <row r="73" customFormat="false" ht="15" hidden="false" customHeight="false" outlineLevel="0" collapsed="false">
      <c r="A73" s="15" t="n">
        <v>4</v>
      </c>
      <c r="B73" s="15" t="s">
        <v>144</v>
      </c>
      <c r="C73" s="16" t="s">
        <v>145</v>
      </c>
      <c r="D73" s="18" t="n">
        <v>0.194444444444444</v>
      </c>
      <c r="E73" s="18" t="n">
        <v>0.197916666666667</v>
      </c>
      <c r="F73" s="19" t="n">
        <f aca="false">IF(AND(ISNUMBER(D73),ISNUMBER(E73)),ROUND((E73-D73)*1440,0),"")</f>
        <v>5</v>
      </c>
      <c r="G73" s="20" t="s">
        <v>2</v>
      </c>
      <c r="H73" s="21" t="s">
        <v>23</v>
      </c>
      <c r="I73" s="28"/>
      <c r="J73" s="21" t="s">
        <v>146</v>
      </c>
    </row>
    <row r="74" customFormat="false" ht="15" hidden="false" customHeight="false" outlineLevel="0" collapsed="false">
      <c r="A74" s="30" t="n">
        <v>4</v>
      </c>
      <c r="B74" s="30" t="s">
        <v>144</v>
      </c>
      <c r="C74" s="31" t="s">
        <v>145</v>
      </c>
      <c r="D74" s="32" t="n">
        <v>0.197916666666667</v>
      </c>
      <c r="E74" s="32" t="n">
        <v>0.21875</v>
      </c>
      <c r="F74" s="33" t="n">
        <f aca="false">IF(AND(ISNUMBER(D74),ISNUMBER(E74)),ROUND((E74-D74)*1440,0),"")</f>
        <v>30</v>
      </c>
      <c r="G74" s="31" t="s">
        <v>6</v>
      </c>
      <c r="H74" s="34" t="s">
        <v>147</v>
      </c>
      <c r="I74" s="34" t="s">
        <v>148</v>
      </c>
      <c r="J74" s="35"/>
    </row>
    <row r="75" customFormat="false" ht="15" hidden="false" customHeight="false" outlineLevel="0" collapsed="false">
      <c r="A75" s="15" t="n">
        <v>4</v>
      </c>
      <c r="B75" s="15" t="s">
        <v>144</v>
      </c>
      <c r="C75" s="16" t="s">
        <v>145</v>
      </c>
      <c r="D75" s="18" t="n">
        <v>0.21875</v>
      </c>
      <c r="E75" s="18" t="n">
        <v>0.222222222222222</v>
      </c>
      <c r="F75" s="19" t="n">
        <f aca="false">IF(AND(ISNUMBER(D75),ISNUMBER(E75)),ROUND((E75-D75)*1440,0),"")</f>
        <v>5</v>
      </c>
      <c r="G75" s="20" t="s">
        <v>2</v>
      </c>
      <c r="H75" s="21" t="s">
        <v>23</v>
      </c>
      <c r="I75" s="28"/>
      <c r="J75" s="21" t="s">
        <v>94</v>
      </c>
    </row>
    <row r="76" customFormat="false" ht="15" hidden="false" customHeight="false" outlineLevel="0" collapsed="false">
      <c r="A76" s="10" t="n">
        <v>4</v>
      </c>
      <c r="B76" s="10" t="s">
        <v>144</v>
      </c>
      <c r="C76" s="11" t="s">
        <v>145</v>
      </c>
      <c r="D76" s="36" t="n">
        <v>0.222222222222222</v>
      </c>
      <c r="E76" s="36" t="n">
        <v>0.347222222222222</v>
      </c>
      <c r="F76" s="12" t="n">
        <f aca="false">IF(AND(ISNUMBER(D76),ISNUMBER(E76)),ROUND((E76-D76)*1440,0),"")</f>
        <v>180</v>
      </c>
      <c r="G76" s="13" t="s">
        <v>4</v>
      </c>
      <c r="H76" s="14" t="s">
        <v>68</v>
      </c>
      <c r="I76" s="14" t="s">
        <v>95</v>
      </c>
      <c r="J76" s="37"/>
    </row>
    <row r="77" customFormat="false" ht="15" hidden="false" customHeight="false" outlineLevel="0" collapsed="false">
      <c r="A77" s="15" t="n">
        <v>4</v>
      </c>
      <c r="B77" s="15" t="s">
        <v>144</v>
      </c>
      <c r="C77" s="16" t="s">
        <v>145</v>
      </c>
      <c r="D77" s="18" t="n">
        <v>0.347222222222222</v>
      </c>
      <c r="E77" s="18" t="n">
        <v>0.350694444444444</v>
      </c>
      <c r="F77" s="19" t="n">
        <f aca="false">IF(AND(ISNUMBER(D77),ISNUMBER(E77)),ROUND((E77-D77)*1440,0),"")</f>
        <v>5</v>
      </c>
      <c r="G77" s="20" t="s">
        <v>2</v>
      </c>
      <c r="H77" s="21" t="s">
        <v>23</v>
      </c>
      <c r="I77" s="28"/>
      <c r="J77" s="21" t="s">
        <v>149</v>
      </c>
    </row>
    <row r="78" customFormat="false" ht="15" hidden="false" customHeight="false" outlineLevel="0" collapsed="false">
      <c r="A78" s="38" t="n">
        <v>4</v>
      </c>
      <c r="B78" s="38" t="s">
        <v>144</v>
      </c>
      <c r="C78" s="39" t="s">
        <v>145</v>
      </c>
      <c r="D78" s="40" t="n">
        <v>0.350694444444444</v>
      </c>
      <c r="E78" s="40" t="n">
        <v>0.385416666666667</v>
      </c>
      <c r="F78" s="41" t="n">
        <f aca="false">IF(AND(ISNUMBER(D78),ISNUMBER(E78)),ROUND((E78-D78)*1440,0),"")</f>
        <v>50</v>
      </c>
      <c r="G78" s="42" t="s">
        <v>3</v>
      </c>
      <c r="H78" s="43" t="s">
        <v>150</v>
      </c>
      <c r="I78" s="43" t="s">
        <v>151</v>
      </c>
      <c r="J78" s="49"/>
    </row>
    <row r="79" customFormat="false" ht="15" hidden="false" customHeight="false" outlineLevel="0" collapsed="false">
      <c r="A79" s="15" t="n">
        <v>4</v>
      </c>
      <c r="B79" s="15" t="s">
        <v>144</v>
      </c>
      <c r="C79" s="16" t="s">
        <v>145</v>
      </c>
      <c r="D79" s="18" t="n">
        <v>0.385416666666667</v>
      </c>
      <c r="E79" s="18" t="n">
        <v>0.416666666666667</v>
      </c>
      <c r="F79" s="19" t="n">
        <f aca="false">IF(AND(ISNUMBER(D79),ISNUMBER(E79)),ROUND((E79-D79)*1440,0),"")</f>
        <v>45</v>
      </c>
      <c r="G79" s="20" t="s">
        <v>2</v>
      </c>
      <c r="H79" s="21" t="s">
        <v>23</v>
      </c>
      <c r="I79" s="28"/>
      <c r="J79" s="21" t="s">
        <v>152</v>
      </c>
    </row>
    <row r="80" customFormat="false" ht="15" hidden="false" customHeight="false" outlineLevel="0" collapsed="false">
      <c r="A80" s="30" t="n">
        <v>4</v>
      </c>
      <c r="B80" s="30" t="s">
        <v>144</v>
      </c>
      <c r="C80" s="31" t="s">
        <v>145</v>
      </c>
      <c r="D80" s="32" t="n">
        <v>0.416666666666667</v>
      </c>
      <c r="E80" s="32" t="n">
        <v>0.4375</v>
      </c>
      <c r="F80" s="33" t="n">
        <f aca="false">IF(AND(ISNUMBER(D80),ISNUMBER(E80)),ROUND((E80-D80)*1440,0),"")</f>
        <v>30</v>
      </c>
      <c r="G80" s="31" t="s">
        <v>6</v>
      </c>
      <c r="H80" s="34" t="s">
        <v>153</v>
      </c>
      <c r="I80" s="34" t="s">
        <v>154</v>
      </c>
      <c r="J80" s="35"/>
    </row>
    <row r="81" customFormat="false" ht="15" hidden="false" customHeight="false" outlineLevel="0" collapsed="false">
      <c r="A81" s="30" t="n">
        <v>4</v>
      </c>
      <c r="B81" s="30" t="s">
        <v>144</v>
      </c>
      <c r="C81" s="31" t="s">
        <v>145</v>
      </c>
      <c r="D81" s="32" t="n">
        <v>0.4375</v>
      </c>
      <c r="E81" s="32" t="n">
        <v>0.458333333333333</v>
      </c>
      <c r="F81" s="33" t="n">
        <f aca="false">IF(AND(ISNUMBER(D81),ISNUMBER(E81)),ROUND((E81-D81)*1440,0),"")</f>
        <v>30</v>
      </c>
      <c r="G81" s="31" t="s">
        <v>6</v>
      </c>
      <c r="H81" s="34" t="s">
        <v>155</v>
      </c>
      <c r="I81" s="34" t="s">
        <v>156</v>
      </c>
      <c r="J81" s="35"/>
    </row>
    <row r="82" customFormat="false" ht="15" hidden="false" customHeight="false" outlineLevel="0" collapsed="false">
      <c r="A82" s="38" t="n">
        <v>4</v>
      </c>
      <c r="B82" s="38" t="s">
        <v>144</v>
      </c>
      <c r="C82" s="39" t="s">
        <v>145</v>
      </c>
      <c r="D82" s="40" t="n">
        <v>0.458333333333333</v>
      </c>
      <c r="E82" s="40" t="n">
        <v>0.479166666666667</v>
      </c>
      <c r="F82" s="41" t="n">
        <f aca="false">IF(AND(ISNUMBER(D82),ISNUMBER(E82)),ROUND((E82-D82)*1440,0),"")</f>
        <v>30</v>
      </c>
      <c r="G82" s="42" t="s">
        <v>3</v>
      </c>
      <c r="H82" s="43" t="s">
        <v>157</v>
      </c>
      <c r="I82" s="43" t="s">
        <v>158</v>
      </c>
      <c r="J82" s="43" t="s">
        <v>159</v>
      </c>
    </row>
    <row r="83" customFormat="false" ht="15" hidden="false" customHeight="false" outlineLevel="0" collapsed="false">
      <c r="A83" s="38" t="n">
        <v>4</v>
      </c>
      <c r="B83" s="38" t="s">
        <v>144</v>
      </c>
      <c r="C83" s="39" t="s">
        <v>145</v>
      </c>
      <c r="D83" s="40" t="n">
        <v>0.479166666666667</v>
      </c>
      <c r="E83" s="40" t="n">
        <v>0.5</v>
      </c>
      <c r="F83" s="41" t="n">
        <f aca="false">IF(AND(ISNUMBER(D83),ISNUMBER(E83)),ROUND((E83-D83)*1440,0),"")</f>
        <v>30</v>
      </c>
      <c r="G83" s="42" t="s">
        <v>3</v>
      </c>
      <c r="H83" s="43" t="s">
        <v>160</v>
      </c>
      <c r="I83" s="43" t="s">
        <v>161</v>
      </c>
      <c r="J83" s="49"/>
    </row>
    <row r="84" customFormat="false" ht="15" hidden="false" customHeight="false" outlineLevel="0" collapsed="false">
      <c r="A84" s="15" t="n">
        <v>4</v>
      </c>
      <c r="B84" s="15" t="s">
        <v>144</v>
      </c>
      <c r="C84" s="16" t="s">
        <v>145</v>
      </c>
      <c r="D84" s="18" t="n">
        <v>0.5</v>
      </c>
      <c r="E84" s="18" t="n">
        <v>0.503472222222222</v>
      </c>
      <c r="F84" s="19" t="n">
        <f aca="false">IF(AND(ISNUMBER(D84),ISNUMBER(E84)),ROUND((E84-D84)*1440,0),"")</f>
        <v>5</v>
      </c>
      <c r="G84" s="20" t="s">
        <v>2</v>
      </c>
      <c r="H84" s="21" t="s">
        <v>23</v>
      </c>
      <c r="I84" s="28"/>
      <c r="J84" s="21" t="s">
        <v>162</v>
      </c>
    </row>
    <row r="85" customFormat="false" ht="15" hidden="false" customHeight="false" outlineLevel="0" collapsed="false">
      <c r="A85" s="30" t="n">
        <v>4</v>
      </c>
      <c r="B85" s="30" t="s">
        <v>144</v>
      </c>
      <c r="C85" s="31" t="s">
        <v>145</v>
      </c>
      <c r="D85" s="32" t="n">
        <v>0.503472222222222</v>
      </c>
      <c r="E85" s="32" t="n">
        <v>0.541666666666667</v>
      </c>
      <c r="F85" s="33" t="n">
        <f aca="false">IF(AND(ISNUMBER(D85),ISNUMBER(E85)),ROUND((E85-D85)*1440,0),"")</f>
        <v>55</v>
      </c>
      <c r="G85" s="31" t="s">
        <v>6</v>
      </c>
      <c r="H85" s="34" t="s">
        <v>163</v>
      </c>
      <c r="I85" s="34" t="s">
        <v>164</v>
      </c>
      <c r="J85" s="34" t="s">
        <v>165</v>
      </c>
    </row>
    <row r="86" customFormat="false" ht="15" hidden="false" customHeight="false" outlineLevel="0" collapsed="false">
      <c r="A86" s="15" t="n">
        <v>4</v>
      </c>
      <c r="B86" s="15" t="s">
        <v>144</v>
      </c>
      <c r="C86" s="16" t="s">
        <v>145</v>
      </c>
      <c r="D86" s="18" t="n">
        <v>0.541666666666667</v>
      </c>
      <c r="E86" s="18" t="n">
        <v>0.545138888888889</v>
      </c>
      <c r="F86" s="19" t="n">
        <f aca="false">IF(AND(ISNUMBER(D86),ISNUMBER(E86)),ROUND((E86-D86)*1440,0),"")</f>
        <v>5</v>
      </c>
      <c r="G86" s="20" t="s">
        <v>2</v>
      </c>
      <c r="H86" s="21" t="s">
        <v>23</v>
      </c>
      <c r="I86" s="28"/>
      <c r="J86" s="21" t="s">
        <v>166</v>
      </c>
    </row>
    <row r="87" customFormat="false" ht="15" hidden="false" customHeight="false" outlineLevel="0" collapsed="false">
      <c r="A87" s="38" t="n">
        <v>4</v>
      </c>
      <c r="B87" s="38" t="s">
        <v>144</v>
      </c>
      <c r="C87" s="39" t="s">
        <v>145</v>
      </c>
      <c r="D87" s="40" t="n">
        <v>0.545138888888889</v>
      </c>
      <c r="E87" s="40" t="n">
        <v>0.555555555555556</v>
      </c>
      <c r="F87" s="41" t="n">
        <f aca="false">IF(AND(ISNUMBER(D87),ISNUMBER(E87)),ROUND((E87-D87)*1440,0),"")</f>
        <v>15</v>
      </c>
      <c r="G87" s="42" t="s">
        <v>3</v>
      </c>
      <c r="H87" s="43" t="s">
        <v>167</v>
      </c>
      <c r="I87" s="43" t="s">
        <v>168</v>
      </c>
      <c r="J87" s="43" t="s">
        <v>169</v>
      </c>
    </row>
    <row r="88" customFormat="false" ht="15" hidden="false" customHeight="false" outlineLevel="0" collapsed="false">
      <c r="A88" s="15" t="n">
        <v>4</v>
      </c>
      <c r="B88" s="15" t="s">
        <v>144</v>
      </c>
      <c r="C88" s="16" t="s">
        <v>145</v>
      </c>
      <c r="D88" s="18" t="n">
        <v>0.555555555555556</v>
      </c>
      <c r="E88" s="18" t="n">
        <v>0.559027777777778</v>
      </c>
      <c r="F88" s="19" t="n">
        <f aca="false">IF(AND(ISNUMBER(D88),ISNUMBER(E88)),ROUND((E88-D88)*1440,0),"")</f>
        <v>5</v>
      </c>
      <c r="G88" s="20" t="s">
        <v>2</v>
      </c>
      <c r="H88" s="21" t="s">
        <v>23</v>
      </c>
      <c r="I88" s="28"/>
      <c r="J88" s="21" t="s">
        <v>170</v>
      </c>
    </row>
    <row r="89" customFormat="false" ht="15" hidden="false" customHeight="false" outlineLevel="0" collapsed="false">
      <c r="A89" s="38" t="n">
        <v>4</v>
      </c>
      <c r="B89" s="38" t="s">
        <v>144</v>
      </c>
      <c r="C89" s="39" t="s">
        <v>145</v>
      </c>
      <c r="D89" s="40" t="n">
        <v>0.559027777777778</v>
      </c>
      <c r="E89" s="40" t="n">
        <v>0.569444444444444</v>
      </c>
      <c r="F89" s="41" t="n">
        <f aca="false">IF(AND(ISNUMBER(D89),ISNUMBER(E89)),ROUND((E89-D89)*1440,0),"")</f>
        <v>15</v>
      </c>
      <c r="G89" s="42" t="s">
        <v>3</v>
      </c>
      <c r="H89" s="43" t="s">
        <v>171</v>
      </c>
      <c r="I89" s="43" t="s">
        <v>172</v>
      </c>
      <c r="J89" s="43" t="s">
        <v>173</v>
      </c>
    </row>
    <row r="90" customFormat="false" ht="15" hidden="false" customHeight="false" outlineLevel="0" collapsed="false">
      <c r="A90" s="15" t="n">
        <v>4</v>
      </c>
      <c r="B90" s="15" t="s">
        <v>144</v>
      </c>
      <c r="C90" s="16" t="s">
        <v>145</v>
      </c>
      <c r="D90" s="18" t="n">
        <v>0.569444444444444</v>
      </c>
      <c r="E90" s="18" t="n">
        <v>0.611111111111111</v>
      </c>
      <c r="F90" s="19" t="n">
        <f aca="false">IF(AND(ISNUMBER(D90),ISNUMBER(E90)),ROUND((E90-D90)*1440,0),"")</f>
        <v>60</v>
      </c>
      <c r="G90" s="20" t="s">
        <v>2</v>
      </c>
      <c r="H90" s="21" t="s">
        <v>23</v>
      </c>
      <c r="I90" s="28"/>
      <c r="J90" s="21" t="s">
        <v>90</v>
      </c>
    </row>
    <row r="91" customFormat="false" ht="15" hidden="false" customHeight="false" outlineLevel="0" collapsed="false">
      <c r="A91" s="30" t="n">
        <v>4</v>
      </c>
      <c r="B91" s="30" t="s">
        <v>144</v>
      </c>
      <c r="C91" s="31" t="s">
        <v>145</v>
      </c>
      <c r="D91" s="32" t="n">
        <v>0.611111111111111</v>
      </c>
      <c r="E91" s="32" t="n">
        <v>0.645833333333333</v>
      </c>
      <c r="F91" s="33" t="n">
        <f aca="false">IF(AND(ISNUMBER(D91),ISNUMBER(E91)),ROUND((E91-D91)*1440,0),"")</f>
        <v>50</v>
      </c>
      <c r="G91" s="31" t="s">
        <v>6</v>
      </c>
      <c r="H91" s="34" t="s">
        <v>174</v>
      </c>
      <c r="I91" s="34" t="s">
        <v>175</v>
      </c>
      <c r="J91" s="34" t="s">
        <v>176</v>
      </c>
    </row>
    <row r="92" customFormat="false" ht="15" hidden="false" customHeight="false" outlineLevel="0" collapsed="false">
      <c r="A92" s="15" t="n">
        <v>4</v>
      </c>
      <c r="B92" s="15" t="s">
        <v>144</v>
      </c>
      <c r="C92" s="16" t="s">
        <v>145</v>
      </c>
      <c r="D92" s="18" t="n">
        <v>0.645833333333333</v>
      </c>
      <c r="E92" s="18" t="n">
        <v>0.697916666666667</v>
      </c>
      <c r="F92" s="19" t="n">
        <f aca="false">IF(AND(ISNUMBER(D92),ISNUMBER(E92)),ROUND((E92-D92)*1440,0),"")</f>
        <v>75</v>
      </c>
      <c r="G92" s="20" t="s">
        <v>2</v>
      </c>
      <c r="H92" s="21" t="s">
        <v>23</v>
      </c>
      <c r="I92" s="28"/>
      <c r="J92" s="21" t="s">
        <v>177</v>
      </c>
    </row>
    <row r="93" customFormat="false" ht="15" hidden="false" customHeight="false" outlineLevel="0" collapsed="false">
      <c r="A93" s="30" t="n">
        <v>4</v>
      </c>
      <c r="B93" s="30" t="s">
        <v>144</v>
      </c>
      <c r="C93" s="31" t="s">
        <v>145</v>
      </c>
      <c r="D93" s="32" t="n">
        <v>0.697916666666667</v>
      </c>
      <c r="E93" s="32" t="n">
        <v>0.708333333333333</v>
      </c>
      <c r="F93" s="33" t="n">
        <f aca="false">IF(AND(ISNUMBER(D93),ISNUMBER(E93)),ROUND((E93-D93)*1440,0),"")</f>
        <v>15</v>
      </c>
      <c r="G93" s="31" t="s">
        <v>6</v>
      </c>
      <c r="H93" s="34" t="s">
        <v>178</v>
      </c>
      <c r="I93" s="34" t="s">
        <v>179</v>
      </c>
      <c r="J93" s="35"/>
    </row>
    <row r="94" customFormat="false" ht="15" hidden="false" customHeight="false" outlineLevel="0" collapsed="false">
      <c r="A94" s="15" t="n">
        <v>4</v>
      </c>
      <c r="B94" s="15" t="s">
        <v>144</v>
      </c>
      <c r="C94" s="16" t="s">
        <v>145</v>
      </c>
      <c r="D94" s="18" t="n">
        <v>0.708333333333333</v>
      </c>
      <c r="E94" s="18" t="n">
        <v>0.711805555555556</v>
      </c>
      <c r="F94" s="19" t="n">
        <f aca="false">IF(AND(ISNUMBER(D94),ISNUMBER(E94)),ROUND((E94-D94)*1440,0),"")</f>
        <v>5</v>
      </c>
      <c r="G94" s="20" t="s">
        <v>2</v>
      </c>
      <c r="H94" s="21" t="s">
        <v>23</v>
      </c>
      <c r="I94" s="28"/>
      <c r="J94" s="28"/>
    </row>
    <row r="95" customFormat="false" ht="15" hidden="false" customHeight="false" outlineLevel="0" collapsed="false">
      <c r="A95" s="10" t="n">
        <v>4</v>
      </c>
      <c r="B95" s="10" t="s">
        <v>144</v>
      </c>
      <c r="C95" s="11" t="s">
        <v>145</v>
      </c>
      <c r="D95" s="36" t="n">
        <v>0.711805555555556</v>
      </c>
      <c r="E95" s="36" t="n">
        <v>0.71875</v>
      </c>
      <c r="F95" s="12" t="n">
        <f aca="false">IF(AND(ISNUMBER(D95),ISNUMBER(E95)),ROUND((E95-D95)*1440,0),"")</f>
        <v>10</v>
      </c>
      <c r="G95" s="13" t="s">
        <v>4</v>
      </c>
      <c r="H95" s="37" t="s">
        <v>53</v>
      </c>
      <c r="I95" s="37" t="s">
        <v>180</v>
      </c>
      <c r="J95" s="14" t="s">
        <v>181</v>
      </c>
    </row>
    <row r="96" customFormat="false" ht="15" hidden="false" customHeight="false" outlineLevel="0" collapsed="false">
      <c r="A96" s="38" t="n">
        <v>4</v>
      </c>
      <c r="B96" s="38" t="s">
        <v>144</v>
      </c>
      <c r="C96" s="39" t="s">
        <v>145</v>
      </c>
      <c r="D96" s="40" t="n">
        <v>0.71875</v>
      </c>
      <c r="E96" s="40" t="n">
        <v>0.791666666666667</v>
      </c>
      <c r="F96" s="41" t="n">
        <f aca="false">IF(AND(ISNUMBER(D96),ISNUMBER(E96)),ROUND((E96-D96)*1440,0),"")</f>
        <v>105</v>
      </c>
      <c r="G96" s="42" t="s">
        <v>3</v>
      </c>
      <c r="H96" s="43" t="s">
        <v>182</v>
      </c>
      <c r="I96" s="43" t="s">
        <v>183</v>
      </c>
      <c r="J96" s="49"/>
    </row>
    <row r="97" customFormat="false" ht="15" hidden="false" customHeight="false" outlineLevel="0" collapsed="false">
      <c r="A97" s="44" t="n">
        <v>4</v>
      </c>
      <c r="B97" s="44" t="s">
        <v>144</v>
      </c>
      <c r="C97" s="45" t="s">
        <v>145</v>
      </c>
      <c r="D97" s="44"/>
      <c r="E97" s="44"/>
      <c r="F97" s="46" t="str">
        <f aca="false">IF(AND(ISNUMBER(D97),ISNUMBER(E97)),ROUND((E97-D97)*1440,0),"")</f>
        <v/>
      </c>
      <c r="G97" s="47" t="s">
        <v>4</v>
      </c>
      <c r="H97" s="48" t="s">
        <v>61</v>
      </c>
      <c r="I97" s="50" t="s">
        <v>180</v>
      </c>
      <c r="J97" s="48" t="s">
        <v>184</v>
      </c>
    </row>
    <row r="98" customFormat="false" ht="15" hidden="false" customHeight="false" outlineLevel="0" collapsed="false">
      <c r="A98" s="10" t="n">
        <v>5</v>
      </c>
      <c r="B98" s="10" t="s">
        <v>185</v>
      </c>
      <c r="C98" s="11" t="s">
        <v>186</v>
      </c>
      <c r="D98" s="10"/>
      <c r="E98" s="10"/>
      <c r="F98" s="12" t="str">
        <f aca="false">IF(AND(ISNUMBER(D98),ISNUMBER(E98)),ROUND((E98-D98)*1440,0),"")</f>
        <v/>
      </c>
      <c r="G98" s="13" t="s">
        <v>4</v>
      </c>
      <c r="H98" s="14" t="s">
        <v>20</v>
      </c>
      <c r="I98" s="37" t="s">
        <v>180</v>
      </c>
      <c r="J98" s="37"/>
    </row>
    <row r="99" customFormat="false" ht="15" hidden="false" customHeight="false" outlineLevel="0" collapsed="false">
      <c r="A99" s="38" t="n">
        <v>5</v>
      </c>
      <c r="B99" s="38" t="s">
        <v>185</v>
      </c>
      <c r="C99" s="39" t="s">
        <v>186</v>
      </c>
      <c r="D99" s="38"/>
      <c r="E99" s="38"/>
      <c r="F99" s="41" t="str">
        <f aca="false">IF(AND(ISNUMBER(D99),ISNUMBER(E99)),ROUND((E99-D99)*1440,0),"")</f>
        <v/>
      </c>
      <c r="G99" s="42" t="s">
        <v>3</v>
      </c>
      <c r="H99" s="43" t="s">
        <v>187</v>
      </c>
      <c r="I99" s="49" t="s">
        <v>180</v>
      </c>
      <c r="J99" s="49"/>
    </row>
    <row r="100" customFormat="false" ht="15" hidden="false" customHeight="false" outlineLevel="0" collapsed="false">
      <c r="A100" s="15" t="n">
        <v>5</v>
      </c>
      <c r="B100" s="15" t="s">
        <v>185</v>
      </c>
      <c r="C100" s="16" t="s">
        <v>186</v>
      </c>
      <c r="D100" s="18" t="n">
        <v>0.354166666666667</v>
      </c>
      <c r="E100" s="18" t="n">
        <v>0.371527777777778</v>
      </c>
      <c r="F100" s="19" t="n">
        <f aca="false">IF(AND(ISNUMBER(D100),ISNUMBER(E100)),ROUND((E100-D100)*1440,0),"")</f>
        <v>25</v>
      </c>
      <c r="G100" s="20" t="s">
        <v>2</v>
      </c>
      <c r="H100" s="21" t="s">
        <v>23</v>
      </c>
      <c r="I100" s="28"/>
      <c r="J100" s="28"/>
    </row>
    <row r="101" customFormat="false" ht="15" hidden="false" customHeight="false" outlineLevel="0" collapsed="false">
      <c r="A101" s="30" t="n">
        <v>5</v>
      </c>
      <c r="B101" s="30" t="s">
        <v>185</v>
      </c>
      <c r="C101" s="31" t="s">
        <v>186</v>
      </c>
      <c r="D101" s="32" t="n">
        <v>0.371527777777778</v>
      </c>
      <c r="E101" s="32" t="n">
        <v>0.381944444444444</v>
      </c>
      <c r="F101" s="33" t="n">
        <f aca="false">IF(AND(ISNUMBER(D101),ISNUMBER(E101)),ROUND((E101-D101)*1440,0),"")</f>
        <v>15</v>
      </c>
      <c r="G101" s="31" t="s">
        <v>6</v>
      </c>
      <c r="H101" s="34" t="s">
        <v>188</v>
      </c>
      <c r="I101" s="34" t="s">
        <v>189</v>
      </c>
      <c r="J101" s="35"/>
    </row>
    <row r="102" customFormat="false" ht="15" hidden="false" customHeight="false" outlineLevel="0" collapsed="false">
      <c r="A102" s="15" t="n">
        <v>5</v>
      </c>
      <c r="B102" s="15" t="s">
        <v>185</v>
      </c>
      <c r="C102" s="16" t="s">
        <v>186</v>
      </c>
      <c r="D102" s="18" t="n">
        <v>0.381944444444444</v>
      </c>
      <c r="E102" s="18" t="n">
        <v>0.385416666666667</v>
      </c>
      <c r="F102" s="19" t="n">
        <f aca="false">IF(AND(ISNUMBER(D102),ISNUMBER(E102)),ROUND((E102-D102)*1440,0),"")</f>
        <v>5</v>
      </c>
      <c r="G102" s="20" t="s">
        <v>2</v>
      </c>
      <c r="H102" s="21" t="s">
        <v>23</v>
      </c>
      <c r="I102" s="28"/>
      <c r="J102" s="28"/>
    </row>
    <row r="103" customFormat="false" ht="15" hidden="false" customHeight="false" outlineLevel="0" collapsed="false">
      <c r="A103" s="30" t="n">
        <v>5</v>
      </c>
      <c r="B103" s="30" t="s">
        <v>185</v>
      </c>
      <c r="C103" s="31" t="s">
        <v>186</v>
      </c>
      <c r="D103" s="32" t="n">
        <v>0.385416666666667</v>
      </c>
      <c r="E103" s="32" t="n">
        <v>0.392361111111111</v>
      </c>
      <c r="F103" s="33" t="n">
        <f aca="false">IF(AND(ISNUMBER(D103),ISNUMBER(E103)),ROUND((E103-D103)*1440,0),"")</f>
        <v>10</v>
      </c>
      <c r="G103" s="31" t="s">
        <v>6</v>
      </c>
      <c r="H103" s="34" t="s">
        <v>190</v>
      </c>
      <c r="I103" s="34" t="s">
        <v>191</v>
      </c>
      <c r="J103" s="34" t="s">
        <v>192</v>
      </c>
    </row>
    <row r="104" customFormat="false" ht="15" hidden="false" customHeight="false" outlineLevel="0" collapsed="false">
      <c r="A104" s="15" t="n">
        <v>5</v>
      </c>
      <c r="B104" s="15" t="s">
        <v>185</v>
      </c>
      <c r="C104" s="16" t="s">
        <v>186</v>
      </c>
      <c r="D104" s="18" t="n">
        <v>0.392361111111111</v>
      </c>
      <c r="E104" s="18" t="n">
        <v>0.395833333333333</v>
      </c>
      <c r="F104" s="19" t="n">
        <f aca="false">IF(AND(ISNUMBER(D104),ISNUMBER(E104)),ROUND((E104-D104)*1440,0),"")</f>
        <v>5</v>
      </c>
      <c r="G104" s="20" t="s">
        <v>2</v>
      </c>
      <c r="H104" s="21" t="s">
        <v>23</v>
      </c>
      <c r="I104" s="28"/>
      <c r="J104" s="21" t="s">
        <v>193</v>
      </c>
    </row>
    <row r="105" customFormat="false" ht="15" hidden="false" customHeight="false" outlineLevel="0" collapsed="false">
      <c r="A105" s="30" t="n">
        <v>5</v>
      </c>
      <c r="B105" s="30" t="s">
        <v>185</v>
      </c>
      <c r="C105" s="31" t="s">
        <v>186</v>
      </c>
      <c r="D105" s="32" t="n">
        <v>0.395833333333333</v>
      </c>
      <c r="E105" s="32" t="n">
        <v>0.416666666666667</v>
      </c>
      <c r="F105" s="33" t="n">
        <f aca="false">IF(AND(ISNUMBER(D105),ISNUMBER(E105)),ROUND((E105-D105)*1440,0),"")</f>
        <v>30</v>
      </c>
      <c r="G105" s="31" t="s">
        <v>6</v>
      </c>
      <c r="H105" s="34" t="s">
        <v>194</v>
      </c>
      <c r="I105" s="34" t="s">
        <v>195</v>
      </c>
      <c r="J105" s="34" t="s">
        <v>196</v>
      </c>
    </row>
    <row r="106" customFormat="false" ht="15" hidden="false" customHeight="false" outlineLevel="0" collapsed="false">
      <c r="A106" s="30" t="n">
        <v>5</v>
      </c>
      <c r="B106" s="30" t="s">
        <v>185</v>
      </c>
      <c r="C106" s="31" t="s">
        <v>186</v>
      </c>
      <c r="D106" s="32" t="n">
        <v>0.416666666666667</v>
      </c>
      <c r="E106" s="32" t="n">
        <v>0.427083333333333</v>
      </c>
      <c r="F106" s="33" t="n">
        <f aca="false">IF(AND(ISNUMBER(D106),ISNUMBER(E106)),ROUND((E106-D106)*1440,0),"")</f>
        <v>15</v>
      </c>
      <c r="G106" s="31" t="s">
        <v>6</v>
      </c>
      <c r="H106" s="34" t="s">
        <v>197</v>
      </c>
      <c r="I106" s="34" t="s">
        <v>198</v>
      </c>
      <c r="J106" s="35"/>
    </row>
    <row r="107" customFormat="false" ht="15" hidden="false" customHeight="false" outlineLevel="0" collapsed="false">
      <c r="A107" s="30" t="n">
        <v>5</v>
      </c>
      <c r="B107" s="30" t="s">
        <v>185</v>
      </c>
      <c r="C107" s="31" t="s">
        <v>186</v>
      </c>
      <c r="D107" s="32" t="n">
        <v>0.427083333333333</v>
      </c>
      <c r="E107" s="32" t="n">
        <v>0.447916666666667</v>
      </c>
      <c r="F107" s="33" t="n">
        <f aca="false">IF(AND(ISNUMBER(D107),ISNUMBER(E107)),ROUND((E107-D107)*1440,0),"")</f>
        <v>30</v>
      </c>
      <c r="G107" s="31" t="s">
        <v>6</v>
      </c>
      <c r="H107" s="34" t="s">
        <v>199</v>
      </c>
      <c r="I107" s="34" t="s">
        <v>200</v>
      </c>
      <c r="J107" s="34" t="s">
        <v>201</v>
      </c>
    </row>
    <row r="108" customFormat="false" ht="15" hidden="false" customHeight="false" outlineLevel="0" collapsed="false">
      <c r="A108" s="30" t="n">
        <v>5</v>
      </c>
      <c r="B108" s="30" t="s">
        <v>185</v>
      </c>
      <c r="C108" s="31" t="s">
        <v>186</v>
      </c>
      <c r="D108" s="32" t="n">
        <v>0.447916666666667</v>
      </c>
      <c r="E108" s="32" t="n">
        <v>0.458333333333333</v>
      </c>
      <c r="F108" s="33" t="n">
        <f aca="false">IF(AND(ISNUMBER(D108),ISNUMBER(E108)),ROUND((E108-D108)*1440,0),"")</f>
        <v>15</v>
      </c>
      <c r="G108" s="31" t="s">
        <v>6</v>
      </c>
      <c r="H108" s="34" t="s">
        <v>202</v>
      </c>
      <c r="I108" s="34" t="s">
        <v>203</v>
      </c>
      <c r="J108" s="35"/>
    </row>
    <row r="109" customFormat="false" ht="15" hidden="false" customHeight="false" outlineLevel="0" collapsed="false">
      <c r="A109" s="38" t="n">
        <v>5</v>
      </c>
      <c r="B109" s="38" t="s">
        <v>185</v>
      </c>
      <c r="C109" s="39" t="s">
        <v>186</v>
      </c>
      <c r="D109" s="40" t="n">
        <v>0.458333333333333</v>
      </c>
      <c r="E109" s="40" t="n">
        <v>0.496527777777778</v>
      </c>
      <c r="F109" s="41" t="n">
        <f aca="false">IF(AND(ISNUMBER(D109),ISNUMBER(E109)),ROUND((E109-D109)*1440,0),"")</f>
        <v>55</v>
      </c>
      <c r="G109" s="42" t="s">
        <v>3</v>
      </c>
      <c r="H109" s="43" t="s">
        <v>204</v>
      </c>
      <c r="I109" s="43" t="s">
        <v>205</v>
      </c>
      <c r="J109" s="49"/>
    </row>
    <row r="110" customFormat="false" ht="15" hidden="false" customHeight="false" outlineLevel="0" collapsed="false">
      <c r="A110" s="15" t="n">
        <v>5</v>
      </c>
      <c r="B110" s="15" t="s">
        <v>185</v>
      </c>
      <c r="C110" s="16" t="s">
        <v>186</v>
      </c>
      <c r="D110" s="18" t="n">
        <v>0.496527777777778</v>
      </c>
      <c r="E110" s="18" t="n">
        <v>0.506944444444444</v>
      </c>
      <c r="F110" s="19" t="n">
        <f aca="false">IF(AND(ISNUMBER(D110),ISNUMBER(E110)),ROUND((E110-D110)*1440,0),"")</f>
        <v>15</v>
      </c>
      <c r="G110" s="20" t="s">
        <v>2</v>
      </c>
      <c r="H110" s="21" t="s">
        <v>124</v>
      </c>
      <c r="I110" s="28"/>
      <c r="J110" s="28"/>
    </row>
    <row r="111" customFormat="false" ht="15" hidden="false" customHeight="false" outlineLevel="0" collapsed="false">
      <c r="A111" s="15" t="n">
        <v>5</v>
      </c>
      <c r="B111" s="15" t="s">
        <v>185</v>
      </c>
      <c r="C111" s="16" t="s">
        <v>186</v>
      </c>
      <c r="D111" s="18" t="n">
        <v>0.506944444444444</v>
      </c>
      <c r="E111" s="18" t="n">
        <v>0.510416666666667</v>
      </c>
      <c r="F111" s="19" t="n">
        <f aca="false">IF(AND(ISNUMBER(D111),ISNUMBER(E111)),ROUND((E111-D111)*1440,0),"")</f>
        <v>5</v>
      </c>
      <c r="G111" s="20" t="s">
        <v>2</v>
      </c>
      <c r="H111" s="21" t="s">
        <v>23</v>
      </c>
      <c r="I111" s="28"/>
      <c r="J111" s="21" t="s">
        <v>206</v>
      </c>
    </row>
    <row r="112" customFormat="false" ht="15" hidden="false" customHeight="false" outlineLevel="0" collapsed="false">
      <c r="A112" s="30" t="n">
        <v>5</v>
      </c>
      <c r="B112" s="30" t="s">
        <v>185</v>
      </c>
      <c r="C112" s="31" t="s">
        <v>186</v>
      </c>
      <c r="D112" s="32" t="n">
        <v>0.513888888888889</v>
      </c>
      <c r="E112" s="32" t="n">
        <v>0.548611111111111</v>
      </c>
      <c r="F112" s="33" t="n">
        <f aca="false">IF(AND(ISNUMBER(D112),ISNUMBER(E112)),ROUND((E112-D112)*1440,0),"")</f>
        <v>50</v>
      </c>
      <c r="G112" s="31" t="s">
        <v>6</v>
      </c>
      <c r="H112" s="34" t="s">
        <v>207</v>
      </c>
      <c r="I112" s="34" t="s">
        <v>208</v>
      </c>
      <c r="J112" s="34" t="s">
        <v>209</v>
      </c>
    </row>
    <row r="113" customFormat="false" ht="15" hidden="false" customHeight="false" outlineLevel="0" collapsed="false">
      <c r="A113" s="15" t="n">
        <v>5</v>
      </c>
      <c r="B113" s="15" t="s">
        <v>185</v>
      </c>
      <c r="C113" s="16" t="s">
        <v>186</v>
      </c>
      <c r="D113" s="18" t="n">
        <v>0.548611111111111</v>
      </c>
      <c r="E113" s="18" t="n">
        <v>0.569444444444444</v>
      </c>
      <c r="F113" s="19" t="n">
        <f aca="false">IF(AND(ISNUMBER(D113),ISNUMBER(E113)),ROUND((E113-D113)*1440,0),"")</f>
        <v>30</v>
      </c>
      <c r="G113" s="20" t="s">
        <v>2</v>
      </c>
      <c r="H113" s="21" t="s">
        <v>124</v>
      </c>
      <c r="I113" s="21" t="s">
        <v>210</v>
      </c>
      <c r="J113" s="21" t="s">
        <v>211</v>
      </c>
    </row>
    <row r="114" customFormat="false" ht="15" hidden="false" customHeight="false" outlineLevel="0" collapsed="false">
      <c r="A114" s="30" t="n">
        <v>5</v>
      </c>
      <c r="B114" s="30" t="s">
        <v>185</v>
      </c>
      <c r="C114" s="31" t="s">
        <v>186</v>
      </c>
      <c r="D114" s="32" t="n">
        <v>0.569444444444444</v>
      </c>
      <c r="E114" s="32" t="n">
        <v>0.611111111111111</v>
      </c>
      <c r="F114" s="33" t="n">
        <f aca="false">IF(AND(ISNUMBER(D114),ISNUMBER(E114)),ROUND((E114-D114)*1440,0),"")</f>
        <v>60</v>
      </c>
      <c r="G114" s="31" t="s">
        <v>6</v>
      </c>
      <c r="H114" s="34" t="s">
        <v>212</v>
      </c>
      <c r="I114" s="34" t="s">
        <v>213</v>
      </c>
      <c r="J114" s="34" t="s">
        <v>214</v>
      </c>
    </row>
    <row r="115" customFormat="false" ht="15" hidden="false" customHeight="false" outlineLevel="0" collapsed="false">
      <c r="A115" s="15" t="n">
        <v>5</v>
      </c>
      <c r="B115" s="15" t="s">
        <v>185</v>
      </c>
      <c r="C115" s="16" t="s">
        <v>186</v>
      </c>
      <c r="D115" s="18" t="n">
        <v>0.611111111111111</v>
      </c>
      <c r="E115" s="18" t="n">
        <v>0.621527777777778</v>
      </c>
      <c r="F115" s="19" t="n">
        <f aca="false">IF(AND(ISNUMBER(D115),ISNUMBER(E115)),ROUND((E115-D115)*1440,0),"")</f>
        <v>15</v>
      </c>
      <c r="G115" s="20" t="s">
        <v>2</v>
      </c>
      <c r="H115" s="21" t="s">
        <v>23</v>
      </c>
      <c r="I115" s="28"/>
      <c r="J115" s="21" t="s">
        <v>215</v>
      </c>
    </row>
    <row r="116" customFormat="false" ht="15" hidden="false" customHeight="false" outlineLevel="0" collapsed="false">
      <c r="A116" s="30" t="n">
        <v>5</v>
      </c>
      <c r="B116" s="30" t="s">
        <v>185</v>
      </c>
      <c r="C116" s="31" t="s">
        <v>186</v>
      </c>
      <c r="D116" s="32" t="n">
        <v>0.621527777777778</v>
      </c>
      <c r="E116" s="32" t="n">
        <v>0.631944444444444</v>
      </c>
      <c r="F116" s="33" t="n">
        <f aca="false">IF(AND(ISNUMBER(D116),ISNUMBER(E116)),ROUND((E116-D116)*1440,0),"")</f>
        <v>15</v>
      </c>
      <c r="G116" s="31" t="s">
        <v>6</v>
      </c>
      <c r="H116" s="34" t="s">
        <v>216</v>
      </c>
      <c r="I116" s="34" t="s">
        <v>217</v>
      </c>
      <c r="J116" s="35"/>
    </row>
    <row r="117" customFormat="false" ht="15" hidden="false" customHeight="false" outlineLevel="0" collapsed="false">
      <c r="A117" s="15" t="n">
        <v>5</v>
      </c>
      <c r="B117" s="15" t="s">
        <v>185</v>
      </c>
      <c r="C117" s="16" t="s">
        <v>186</v>
      </c>
      <c r="D117" s="18" t="n">
        <v>0.631944444444444</v>
      </c>
      <c r="E117" s="18" t="n">
        <v>0.635416666666667</v>
      </c>
      <c r="F117" s="19" t="n">
        <f aca="false">IF(AND(ISNUMBER(D117),ISNUMBER(E117)),ROUND((E117-D117)*1440,0),"")</f>
        <v>5</v>
      </c>
      <c r="G117" s="20" t="s">
        <v>2</v>
      </c>
      <c r="H117" s="21" t="s">
        <v>23</v>
      </c>
      <c r="I117" s="28"/>
      <c r="J117" s="21" t="s">
        <v>215</v>
      </c>
    </row>
    <row r="118" customFormat="false" ht="15" hidden="false" customHeight="false" outlineLevel="0" collapsed="false">
      <c r="A118" s="30" t="n">
        <v>5</v>
      </c>
      <c r="B118" s="30" t="s">
        <v>185</v>
      </c>
      <c r="C118" s="31" t="s">
        <v>186</v>
      </c>
      <c r="D118" s="32" t="n">
        <v>0.635416666666667</v>
      </c>
      <c r="E118" s="32" t="n">
        <v>0.6875</v>
      </c>
      <c r="F118" s="33" t="n">
        <f aca="false">IF(AND(ISNUMBER(D118),ISNUMBER(E118)),ROUND((E118-D118)*1440,0),"")</f>
        <v>75</v>
      </c>
      <c r="G118" s="31" t="s">
        <v>6</v>
      </c>
      <c r="H118" s="34" t="s">
        <v>218</v>
      </c>
      <c r="I118" s="34" t="s">
        <v>219</v>
      </c>
      <c r="J118" s="34" t="s">
        <v>220</v>
      </c>
    </row>
    <row r="119" customFormat="false" ht="15" hidden="false" customHeight="false" outlineLevel="0" collapsed="false">
      <c r="A119" s="15" t="n">
        <v>5</v>
      </c>
      <c r="B119" s="15" t="s">
        <v>185</v>
      </c>
      <c r="C119" s="16" t="s">
        <v>186</v>
      </c>
      <c r="D119" s="18" t="n">
        <v>0.6875</v>
      </c>
      <c r="E119" s="18" t="n">
        <v>0.701388888888889</v>
      </c>
      <c r="F119" s="19" t="n">
        <f aca="false">IF(AND(ISNUMBER(D119),ISNUMBER(E119)),ROUND((E119-D119)*1440,0),"")</f>
        <v>20</v>
      </c>
      <c r="G119" s="20" t="s">
        <v>2</v>
      </c>
      <c r="H119" s="21" t="s">
        <v>23</v>
      </c>
      <c r="I119" s="28"/>
      <c r="J119" s="21" t="s">
        <v>221</v>
      </c>
    </row>
    <row r="120" customFormat="false" ht="15" hidden="false" customHeight="false" outlineLevel="0" collapsed="false">
      <c r="A120" s="30" t="n">
        <v>5</v>
      </c>
      <c r="B120" s="30" t="s">
        <v>185</v>
      </c>
      <c r="C120" s="31" t="s">
        <v>186</v>
      </c>
      <c r="D120" s="32" t="n">
        <v>0.701388888888889</v>
      </c>
      <c r="E120" s="32" t="n">
        <v>0.711805555555556</v>
      </c>
      <c r="F120" s="33" t="n">
        <f aca="false">IF(AND(ISNUMBER(D120),ISNUMBER(E120)),ROUND((E120-D120)*1440,0),"")</f>
        <v>15</v>
      </c>
      <c r="G120" s="31" t="s">
        <v>6</v>
      </c>
      <c r="H120" s="34" t="s">
        <v>87</v>
      </c>
      <c r="I120" s="34" t="s">
        <v>222</v>
      </c>
      <c r="J120" s="35"/>
    </row>
    <row r="121" customFormat="false" ht="15" hidden="false" customHeight="false" outlineLevel="0" collapsed="false">
      <c r="A121" s="15" t="n">
        <v>5</v>
      </c>
      <c r="B121" s="15" t="s">
        <v>185</v>
      </c>
      <c r="C121" s="16" t="s">
        <v>186</v>
      </c>
      <c r="D121" s="18" t="n">
        <v>0.711805555555556</v>
      </c>
      <c r="E121" s="18" t="n">
        <v>0.71875</v>
      </c>
      <c r="F121" s="19" t="n">
        <f aca="false">IF(AND(ISNUMBER(D121),ISNUMBER(E121)),ROUND((E121-D121)*1440,0),"")</f>
        <v>10</v>
      </c>
      <c r="G121" s="20" t="s">
        <v>2</v>
      </c>
      <c r="H121" s="21" t="s">
        <v>23</v>
      </c>
      <c r="I121" s="28"/>
      <c r="J121" s="21" t="s">
        <v>223</v>
      </c>
    </row>
    <row r="122" customFormat="false" ht="15" hidden="false" customHeight="false" outlineLevel="0" collapsed="false">
      <c r="A122" s="10" t="n">
        <v>5</v>
      </c>
      <c r="B122" s="10" t="s">
        <v>185</v>
      </c>
      <c r="C122" s="11" t="s">
        <v>186</v>
      </c>
      <c r="D122" s="36" t="n">
        <v>0.71875</v>
      </c>
      <c r="E122" s="36" t="n">
        <v>0.729166666666667</v>
      </c>
      <c r="F122" s="12" t="n">
        <f aca="false">IF(AND(ISNUMBER(D122),ISNUMBER(E122)),ROUND((E122-D122)*1440,0),"")</f>
        <v>15</v>
      </c>
      <c r="G122" s="13" t="s">
        <v>4</v>
      </c>
      <c r="H122" s="37" t="s">
        <v>53</v>
      </c>
      <c r="I122" s="14" t="s">
        <v>224</v>
      </c>
      <c r="J122" s="37"/>
    </row>
    <row r="123" customFormat="false" ht="15" hidden="false" customHeight="false" outlineLevel="0" collapsed="false">
      <c r="A123" s="15" t="n">
        <v>5</v>
      </c>
      <c r="B123" s="15" t="s">
        <v>185</v>
      </c>
      <c r="C123" s="16" t="s">
        <v>186</v>
      </c>
      <c r="D123" s="18" t="n">
        <v>0.729166666666667</v>
      </c>
      <c r="E123" s="18" t="n">
        <v>0.732638888888889</v>
      </c>
      <c r="F123" s="19" t="n">
        <f aca="false">IF(AND(ISNUMBER(D123),ISNUMBER(E123)),ROUND((E123-D123)*1440,0),"")</f>
        <v>5</v>
      </c>
      <c r="G123" s="20" t="s">
        <v>2</v>
      </c>
      <c r="H123" s="21" t="s">
        <v>225</v>
      </c>
      <c r="I123" s="28"/>
      <c r="J123" s="28"/>
    </row>
    <row r="124" customFormat="false" ht="15" hidden="false" customHeight="false" outlineLevel="0" collapsed="false">
      <c r="A124" s="38" t="n">
        <v>5</v>
      </c>
      <c r="B124" s="38" t="s">
        <v>185</v>
      </c>
      <c r="C124" s="39" t="s">
        <v>186</v>
      </c>
      <c r="D124" s="40" t="n">
        <v>0.732638888888889</v>
      </c>
      <c r="E124" s="40" t="n">
        <v>0.774305555555556</v>
      </c>
      <c r="F124" s="41" t="n">
        <f aca="false">IF(AND(ISNUMBER(D124),ISNUMBER(E124)),ROUND((E124-D124)*1440,0),"")</f>
        <v>60</v>
      </c>
      <c r="G124" s="42" t="s">
        <v>3</v>
      </c>
      <c r="H124" s="43" t="s">
        <v>182</v>
      </c>
      <c r="I124" s="49" t="s">
        <v>226</v>
      </c>
      <c r="J124" s="49"/>
    </row>
    <row r="125" customFormat="false" ht="15" hidden="false" customHeight="false" outlineLevel="0" collapsed="false">
      <c r="A125" s="15" t="n">
        <v>5</v>
      </c>
      <c r="B125" s="15" t="s">
        <v>185</v>
      </c>
      <c r="C125" s="16" t="s">
        <v>186</v>
      </c>
      <c r="D125" s="18" t="n">
        <v>0.774305555555556</v>
      </c>
      <c r="E125" s="18" t="n">
        <v>0.777777777777778</v>
      </c>
      <c r="F125" s="19" t="n">
        <f aca="false">IF(AND(ISNUMBER(D125),ISNUMBER(E125)),ROUND((E125-D125)*1440,0),"")</f>
        <v>5</v>
      </c>
      <c r="G125" s="20" t="s">
        <v>2</v>
      </c>
      <c r="H125" s="21" t="s">
        <v>227</v>
      </c>
      <c r="I125" s="28"/>
      <c r="J125" s="28"/>
    </row>
    <row r="126" customFormat="false" ht="15" hidden="false" customHeight="false" outlineLevel="0" collapsed="false">
      <c r="A126" s="15" t="n">
        <v>5</v>
      </c>
      <c r="B126" s="15" t="s">
        <v>185</v>
      </c>
      <c r="C126" s="16" t="s">
        <v>186</v>
      </c>
      <c r="D126" s="18" t="n">
        <v>0.777777777777778</v>
      </c>
      <c r="E126" s="18" t="n">
        <v>0.788194444444444</v>
      </c>
      <c r="F126" s="19" t="n">
        <f aca="false">IF(AND(ISNUMBER(D126),ISNUMBER(E126)),ROUND((E126-D126)*1440,0),"")</f>
        <v>15</v>
      </c>
      <c r="G126" s="20" t="s">
        <v>2</v>
      </c>
      <c r="H126" s="21" t="s">
        <v>23</v>
      </c>
      <c r="I126" s="28"/>
      <c r="J126" s="21" t="s">
        <v>228</v>
      </c>
    </row>
    <row r="127" customFormat="false" ht="15" hidden="false" customHeight="false" outlineLevel="0" collapsed="false">
      <c r="A127" s="30" t="n">
        <v>5</v>
      </c>
      <c r="B127" s="30" t="s">
        <v>185</v>
      </c>
      <c r="C127" s="31" t="s">
        <v>186</v>
      </c>
      <c r="D127" s="32" t="n">
        <v>0.788194444444444</v>
      </c>
      <c r="E127" s="32" t="n">
        <v>0.802083333333333</v>
      </c>
      <c r="F127" s="33" t="n">
        <f aca="false">IF(AND(ISNUMBER(D127),ISNUMBER(E127)),ROUND((E127-D127)*1440,0),"")</f>
        <v>20</v>
      </c>
      <c r="G127" s="31" t="s">
        <v>6</v>
      </c>
      <c r="H127" s="34" t="s">
        <v>229</v>
      </c>
      <c r="I127" s="34" t="s">
        <v>230</v>
      </c>
      <c r="J127" s="34" t="s">
        <v>231</v>
      </c>
    </row>
    <row r="128" customFormat="false" ht="15" hidden="false" customHeight="false" outlineLevel="0" collapsed="false">
      <c r="A128" s="15" t="n">
        <v>5</v>
      </c>
      <c r="B128" s="15" t="s">
        <v>185</v>
      </c>
      <c r="C128" s="16" t="s">
        <v>186</v>
      </c>
      <c r="D128" s="18" t="n">
        <v>0.802083333333333</v>
      </c>
      <c r="E128" s="18" t="n">
        <v>0.8125</v>
      </c>
      <c r="F128" s="19" t="n">
        <f aca="false">IF(AND(ISNUMBER(D128),ISNUMBER(E128)),ROUND((E128-D128)*1440,0),"")</f>
        <v>15</v>
      </c>
      <c r="G128" s="20" t="s">
        <v>2</v>
      </c>
      <c r="H128" s="21" t="s">
        <v>23</v>
      </c>
      <c r="I128" s="28"/>
      <c r="J128" s="21" t="s">
        <v>223</v>
      </c>
    </row>
    <row r="129" customFormat="false" ht="15" hidden="false" customHeight="false" outlineLevel="0" collapsed="false">
      <c r="A129" s="44" t="n">
        <v>5</v>
      </c>
      <c r="B129" s="44" t="s">
        <v>185</v>
      </c>
      <c r="C129" s="45" t="s">
        <v>186</v>
      </c>
      <c r="D129" s="44"/>
      <c r="E129" s="44"/>
      <c r="F129" s="46" t="str">
        <f aca="false">IF(AND(ISNUMBER(D129),ISNUMBER(E129)),ROUND((E129-D129)*1440,0),"")</f>
        <v/>
      </c>
      <c r="G129" s="47" t="s">
        <v>4</v>
      </c>
      <c r="H129" s="48" t="s">
        <v>232</v>
      </c>
      <c r="I129" s="48" t="s">
        <v>224</v>
      </c>
      <c r="J129" s="48" t="s">
        <v>233</v>
      </c>
    </row>
    <row r="130" customFormat="false" ht="15" hidden="false" customHeight="false" outlineLevel="0" collapsed="false">
      <c r="A130" s="10" t="n">
        <v>6</v>
      </c>
      <c r="B130" s="10" t="s">
        <v>234</v>
      </c>
      <c r="C130" s="11" t="s">
        <v>235</v>
      </c>
      <c r="D130" s="10"/>
      <c r="E130" s="10"/>
      <c r="F130" s="12" t="str">
        <f aca="false">IF(AND(ISNUMBER(D130),ISNUMBER(E130)),ROUND((E130-D130)*1440,0),"")</f>
        <v/>
      </c>
      <c r="G130" s="13" t="s">
        <v>4</v>
      </c>
      <c r="H130" s="14" t="s">
        <v>20</v>
      </c>
      <c r="I130" s="14" t="s">
        <v>224</v>
      </c>
      <c r="J130" s="37"/>
    </row>
    <row r="131" customFormat="false" ht="15" hidden="false" customHeight="false" outlineLevel="0" collapsed="false">
      <c r="A131" s="38" t="n">
        <v>6</v>
      </c>
      <c r="B131" s="38" t="s">
        <v>234</v>
      </c>
      <c r="C131" s="39" t="s">
        <v>235</v>
      </c>
      <c r="D131" s="38"/>
      <c r="E131" s="38"/>
      <c r="F131" s="41" t="str">
        <f aca="false">IF(AND(ISNUMBER(D131),ISNUMBER(E131)),ROUND((E131-D131)*1440,0),"")</f>
        <v/>
      </c>
      <c r="G131" s="42" t="s">
        <v>3</v>
      </c>
      <c r="H131" s="43" t="s">
        <v>236</v>
      </c>
      <c r="I131" s="43" t="s">
        <v>224</v>
      </c>
      <c r="J131" s="49"/>
    </row>
    <row r="132" customFormat="false" ht="15" hidden="false" customHeight="false" outlineLevel="0" collapsed="false">
      <c r="A132" s="15" t="n">
        <v>6</v>
      </c>
      <c r="B132" s="15" t="s">
        <v>234</v>
      </c>
      <c r="C132" s="16" t="s">
        <v>235</v>
      </c>
      <c r="D132" s="18" t="n">
        <v>0.3125</v>
      </c>
      <c r="E132" s="18" t="n">
        <v>0.333333333333333</v>
      </c>
      <c r="F132" s="19" t="n">
        <f aca="false">IF(AND(ISNUMBER(D132),ISNUMBER(E132)),ROUND((E132-D132)*1440,0),"")</f>
        <v>30</v>
      </c>
      <c r="G132" s="20" t="s">
        <v>2</v>
      </c>
      <c r="H132" s="21" t="s">
        <v>23</v>
      </c>
      <c r="I132" s="28"/>
      <c r="J132" s="21" t="s">
        <v>237</v>
      </c>
    </row>
    <row r="133" customFormat="false" ht="15" hidden="false" customHeight="false" outlineLevel="0" collapsed="false">
      <c r="A133" s="30" t="n">
        <v>6</v>
      </c>
      <c r="B133" s="30" t="s">
        <v>234</v>
      </c>
      <c r="C133" s="31" t="s">
        <v>235</v>
      </c>
      <c r="D133" s="32" t="n">
        <v>0.333333333333333</v>
      </c>
      <c r="E133" s="32" t="n">
        <v>0.354166666666667</v>
      </c>
      <c r="F133" s="33" t="n">
        <f aca="false">IF(AND(ISNUMBER(D133),ISNUMBER(E133)),ROUND((E133-D133)*1440,0),"")</f>
        <v>30</v>
      </c>
      <c r="G133" s="31" t="s">
        <v>6</v>
      </c>
      <c r="H133" s="34" t="s">
        <v>238</v>
      </c>
      <c r="I133" s="34" t="s">
        <v>239</v>
      </c>
      <c r="J133" s="34" t="s">
        <v>240</v>
      </c>
    </row>
    <row r="134" customFormat="false" ht="15" hidden="false" customHeight="false" outlineLevel="0" collapsed="false">
      <c r="A134" s="30" t="n">
        <v>6</v>
      </c>
      <c r="B134" s="30" t="s">
        <v>234</v>
      </c>
      <c r="C134" s="31" t="s">
        <v>235</v>
      </c>
      <c r="D134" s="32" t="n">
        <v>0.354166666666667</v>
      </c>
      <c r="E134" s="32" t="n">
        <v>0.368055555555556</v>
      </c>
      <c r="F134" s="33" t="n">
        <f aca="false">IF(AND(ISNUMBER(D134),ISNUMBER(E134)),ROUND((E134-D134)*1440,0),"")</f>
        <v>20</v>
      </c>
      <c r="G134" s="31" t="s">
        <v>6</v>
      </c>
      <c r="H134" s="34" t="s">
        <v>241</v>
      </c>
      <c r="I134" s="34" t="s">
        <v>242</v>
      </c>
      <c r="J134" s="34" t="s">
        <v>243</v>
      </c>
    </row>
    <row r="135" customFormat="false" ht="15" hidden="false" customHeight="false" outlineLevel="0" collapsed="false">
      <c r="A135" s="30" t="n">
        <v>6</v>
      </c>
      <c r="B135" s="30" t="s">
        <v>234</v>
      </c>
      <c r="C135" s="31" t="s">
        <v>235</v>
      </c>
      <c r="D135" s="32" t="n">
        <v>0.368055555555556</v>
      </c>
      <c r="E135" s="32" t="n">
        <v>0.375</v>
      </c>
      <c r="F135" s="33" t="n">
        <f aca="false">IF(AND(ISNUMBER(D135),ISNUMBER(E135)),ROUND((E135-D135)*1440,0),"")</f>
        <v>10</v>
      </c>
      <c r="G135" s="31" t="s">
        <v>6</v>
      </c>
      <c r="H135" s="34" t="s">
        <v>178</v>
      </c>
      <c r="I135" s="34" t="s">
        <v>244</v>
      </c>
      <c r="J135" s="35"/>
    </row>
    <row r="136" customFormat="false" ht="29.85" hidden="false" customHeight="false" outlineLevel="0" collapsed="false">
      <c r="A136" s="30" t="n">
        <v>6</v>
      </c>
      <c r="B136" s="30" t="s">
        <v>234</v>
      </c>
      <c r="C136" s="31" t="s">
        <v>235</v>
      </c>
      <c r="D136" s="32" t="n">
        <v>0.375</v>
      </c>
      <c r="E136" s="32" t="n">
        <v>0.444444444444444</v>
      </c>
      <c r="F136" s="33" t="n">
        <f aca="false">IF(AND(ISNUMBER(D136),ISNUMBER(E136)),ROUND((E136-D136)*1440,0),"")</f>
        <v>100</v>
      </c>
      <c r="G136" s="31" t="s">
        <v>6</v>
      </c>
      <c r="H136" s="34" t="s">
        <v>245</v>
      </c>
      <c r="I136" s="34" t="s">
        <v>246</v>
      </c>
      <c r="J136" s="34" t="s">
        <v>247</v>
      </c>
    </row>
    <row r="137" customFormat="false" ht="15" hidden="false" customHeight="false" outlineLevel="0" collapsed="false">
      <c r="A137" s="30" t="n">
        <v>6</v>
      </c>
      <c r="B137" s="30" t="s">
        <v>234</v>
      </c>
      <c r="C137" s="31" t="s">
        <v>235</v>
      </c>
      <c r="D137" s="32" t="n">
        <v>0.444444444444444</v>
      </c>
      <c r="E137" s="32" t="n">
        <v>0.465277777777778</v>
      </c>
      <c r="F137" s="33" t="n">
        <f aca="false">IF(AND(ISNUMBER(D137),ISNUMBER(E137)),ROUND((E137-D137)*1440,0),"")</f>
        <v>30</v>
      </c>
      <c r="G137" s="31" t="s">
        <v>6</v>
      </c>
      <c r="H137" s="34" t="s">
        <v>248</v>
      </c>
      <c r="I137" s="34" t="s">
        <v>249</v>
      </c>
      <c r="J137" s="34" t="s">
        <v>250</v>
      </c>
    </row>
    <row r="138" customFormat="false" ht="15" hidden="false" customHeight="false" outlineLevel="0" collapsed="false">
      <c r="A138" s="30" t="n">
        <v>6</v>
      </c>
      <c r="B138" s="30" t="s">
        <v>234</v>
      </c>
      <c r="C138" s="31" t="s">
        <v>235</v>
      </c>
      <c r="D138" s="32" t="n">
        <v>0.465277777777778</v>
      </c>
      <c r="E138" s="32" t="n">
        <v>0.479166666666667</v>
      </c>
      <c r="F138" s="33" t="n">
        <f aca="false">IF(AND(ISNUMBER(D138),ISNUMBER(E138)),ROUND((E138-D138)*1440,0),"")</f>
        <v>20</v>
      </c>
      <c r="G138" s="31" t="s">
        <v>6</v>
      </c>
      <c r="H138" s="34" t="s">
        <v>251</v>
      </c>
      <c r="I138" s="34" t="s">
        <v>252</v>
      </c>
      <c r="J138" s="34" t="s">
        <v>240</v>
      </c>
    </row>
    <row r="139" customFormat="false" ht="15" hidden="false" customHeight="false" outlineLevel="0" collapsed="false">
      <c r="A139" s="15" t="n">
        <v>6</v>
      </c>
      <c r="B139" s="15" t="s">
        <v>234</v>
      </c>
      <c r="C139" s="16" t="s">
        <v>235</v>
      </c>
      <c r="D139" s="18" t="n">
        <v>0.479166666666667</v>
      </c>
      <c r="E139" s="18" t="n">
        <v>0.486111111111111</v>
      </c>
      <c r="F139" s="19" t="n">
        <f aca="false">IF(AND(ISNUMBER(D139),ISNUMBER(E139)),ROUND((E139-D139)*1440,0),"")</f>
        <v>10</v>
      </c>
      <c r="G139" s="20" t="s">
        <v>2</v>
      </c>
      <c r="H139" s="21" t="s">
        <v>253</v>
      </c>
      <c r="I139" s="28"/>
      <c r="J139" s="28"/>
    </row>
    <row r="140" customFormat="false" ht="15" hidden="false" customHeight="false" outlineLevel="0" collapsed="false">
      <c r="A140" s="15" t="n">
        <v>6</v>
      </c>
      <c r="B140" s="15" t="s">
        <v>234</v>
      </c>
      <c r="C140" s="16" t="s">
        <v>235</v>
      </c>
      <c r="D140" s="18" t="n">
        <v>0.486111111111111</v>
      </c>
      <c r="E140" s="18" t="n">
        <v>0.493055555555556</v>
      </c>
      <c r="F140" s="19" t="n">
        <f aca="false">IF(AND(ISNUMBER(D140),ISNUMBER(E140)),ROUND((E140-D140)*1440,0),"")</f>
        <v>10</v>
      </c>
      <c r="G140" s="20" t="s">
        <v>2</v>
      </c>
      <c r="H140" s="21" t="s">
        <v>23</v>
      </c>
      <c r="I140" s="28"/>
      <c r="J140" s="21" t="s">
        <v>177</v>
      </c>
    </row>
    <row r="141" customFormat="false" ht="15" hidden="false" customHeight="false" outlineLevel="0" collapsed="false">
      <c r="A141" s="38" t="n">
        <v>6</v>
      </c>
      <c r="B141" s="38" t="s">
        <v>234</v>
      </c>
      <c r="C141" s="39" t="s">
        <v>235</v>
      </c>
      <c r="D141" s="40" t="n">
        <v>0.493055555555556</v>
      </c>
      <c r="E141" s="38"/>
      <c r="F141" s="41" t="str">
        <f aca="false">IF(AND(ISNUMBER(D141),ISNUMBER(E141)),ROUND((E141-D141)*1440,0),"")</f>
        <v/>
      </c>
      <c r="G141" s="42" t="s">
        <v>3</v>
      </c>
      <c r="H141" s="43" t="s">
        <v>254</v>
      </c>
      <c r="I141" s="43" t="s">
        <v>255</v>
      </c>
      <c r="J141" s="43" t="s">
        <v>256</v>
      </c>
    </row>
    <row r="142" customFormat="false" ht="15" hidden="false" customHeight="false" outlineLevel="0" collapsed="false">
      <c r="A142" s="30" t="n">
        <v>6</v>
      </c>
      <c r="B142" s="30" t="s">
        <v>234</v>
      </c>
      <c r="C142" s="31" t="s">
        <v>235</v>
      </c>
      <c r="D142" s="30"/>
      <c r="E142" s="30"/>
      <c r="F142" s="33" t="str">
        <f aca="false">IF(AND(ISNUMBER(D142),ISNUMBER(E142)),ROUND((E142-D142)*1440,0),"")</f>
        <v/>
      </c>
      <c r="G142" s="31" t="s">
        <v>6</v>
      </c>
      <c r="H142" s="35"/>
      <c r="I142" s="34" t="s">
        <v>257</v>
      </c>
      <c r="J142" s="34" t="s">
        <v>258</v>
      </c>
    </row>
    <row r="143" customFormat="false" ht="26.85" hidden="false" customHeight="false" outlineLevel="0" collapsed="false">
      <c r="A143" s="30" t="n">
        <v>6</v>
      </c>
      <c r="B143" s="30" t="s">
        <v>234</v>
      </c>
      <c r="C143" s="31" t="s">
        <v>235</v>
      </c>
      <c r="D143" s="30"/>
      <c r="E143" s="30"/>
      <c r="F143" s="33" t="str">
        <f aca="false">IF(AND(ISNUMBER(D143),ISNUMBER(E143)),ROUND((E143-D143)*1440,0),"")</f>
        <v/>
      </c>
      <c r="G143" s="31" t="s">
        <v>6</v>
      </c>
      <c r="H143" s="35"/>
      <c r="I143" s="34" t="s">
        <v>259</v>
      </c>
      <c r="J143" s="34" t="s">
        <v>260</v>
      </c>
    </row>
    <row r="144" customFormat="false" ht="15" hidden="false" customHeight="false" outlineLevel="0" collapsed="false">
      <c r="A144" s="30" t="n">
        <v>6</v>
      </c>
      <c r="B144" s="30" t="s">
        <v>234</v>
      </c>
      <c r="C144" s="31" t="s">
        <v>235</v>
      </c>
      <c r="D144" s="30"/>
      <c r="E144" s="30"/>
      <c r="F144" s="33" t="str">
        <f aca="false">IF(AND(ISNUMBER(D144),ISNUMBER(E144)),ROUND((E144-D144)*1440,0),"")</f>
        <v/>
      </c>
      <c r="G144" s="31" t="s">
        <v>6</v>
      </c>
      <c r="H144" s="35"/>
      <c r="I144" s="34" t="s">
        <v>261</v>
      </c>
      <c r="J144" s="34" t="s">
        <v>262</v>
      </c>
    </row>
    <row r="145" customFormat="false" ht="15" hidden="false" customHeight="false" outlineLevel="0" collapsed="false">
      <c r="A145" s="30" t="n">
        <v>6</v>
      </c>
      <c r="B145" s="30" t="s">
        <v>234</v>
      </c>
      <c r="C145" s="31" t="s">
        <v>235</v>
      </c>
      <c r="D145" s="30"/>
      <c r="E145" s="30"/>
      <c r="F145" s="33" t="str">
        <f aca="false">IF(AND(ISNUMBER(D145),ISNUMBER(E145)),ROUND((E145-D145)*1440,0),"")</f>
        <v/>
      </c>
      <c r="G145" s="31" t="s">
        <v>6</v>
      </c>
      <c r="H145" s="35"/>
      <c r="I145" s="34" t="s">
        <v>263</v>
      </c>
      <c r="J145" s="34" t="s">
        <v>264</v>
      </c>
    </row>
    <row r="146" customFormat="false" ht="26.85" hidden="false" customHeight="false" outlineLevel="0" collapsed="false">
      <c r="A146" s="30" t="n">
        <v>6</v>
      </c>
      <c r="B146" s="30" t="s">
        <v>234</v>
      </c>
      <c r="C146" s="31" t="s">
        <v>235</v>
      </c>
      <c r="D146" s="30"/>
      <c r="E146" s="30"/>
      <c r="F146" s="33" t="str">
        <f aca="false">IF(AND(ISNUMBER(D146),ISNUMBER(E146)),ROUND((E146-D146)*1440,0),"")</f>
        <v/>
      </c>
      <c r="G146" s="31" t="s">
        <v>6</v>
      </c>
      <c r="H146" s="35"/>
      <c r="I146" s="34" t="s">
        <v>265</v>
      </c>
      <c r="J146" s="34" t="s">
        <v>266</v>
      </c>
    </row>
    <row r="147" customFormat="false" ht="15" hidden="false" customHeight="false" outlineLevel="0" collapsed="false">
      <c r="A147" s="30" t="n">
        <v>6</v>
      </c>
      <c r="B147" s="30" t="s">
        <v>234</v>
      </c>
      <c r="C147" s="31" t="s">
        <v>235</v>
      </c>
      <c r="D147" s="30"/>
      <c r="E147" s="32" t="n">
        <v>0.583333333333333</v>
      </c>
      <c r="F147" s="33" t="str">
        <f aca="false">IF(AND(ISNUMBER(D147),ISNUMBER(E147)),ROUND((E147-D147)*1440,0),"")</f>
        <v/>
      </c>
      <c r="G147" s="31" t="s">
        <v>6</v>
      </c>
      <c r="H147" s="35"/>
      <c r="I147" s="34" t="s">
        <v>267</v>
      </c>
      <c r="J147" s="34" t="s">
        <v>268</v>
      </c>
    </row>
    <row r="148" customFormat="false" ht="15" hidden="false" customHeight="false" outlineLevel="0" collapsed="false">
      <c r="A148" s="15" t="n">
        <v>6</v>
      </c>
      <c r="B148" s="15" t="s">
        <v>234</v>
      </c>
      <c r="C148" s="16" t="s">
        <v>235</v>
      </c>
      <c r="D148" s="18" t="n">
        <v>0.583333333333333</v>
      </c>
      <c r="E148" s="18" t="n">
        <v>0.645833333333333</v>
      </c>
      <c r="F148" s="19" t="n">
        <f aca="false">IF(AND(ISNUMBER(D148),ISNUMBER(E148)),ROUND((E148-D148)*1440,0),"")</f>
        <v>90</v>
      </c>
      <c r="G148" s="20" t="s">
        <v>2</v>
      </c>
      <c r="H148" s="21" t="s">
        <v>23</v>
      </c>
      <c r="I148" s="28"/>
      <c r="J148" s="21" t="s">
        <v>269</v>
      </c>
    </row>
    <row r="149" customFormat="false" ht="15" hidden="false" customHeight="false" outlineLevel="0" collapsed="false">
      <c r="A149" s="30" t="n">
        <v>6</v>
      </c>
      <c r="B149" s="30" t="s">
        <v>234</v>
      </c>
      <c r="C149" s="31" t="s">
        <v>235</v>
      </c>
      <c r="D149" s="32" t="n">
        <v>0.645833333333333</v>
      </c>
      <c r="E149" s="32" t="n">
        <v>0.791666666666667</v>
      </c>
      <c r="F149" s="33" t="n">
        <f aca="false">IF(AND(ISNUMBER(D149),ISNUMBER(E149)),ROUND((E149-D149)*1440,0),"")</f>
        <v>210</v>
      </c>
      <c r="G149" s="31" t="s">
        <v>6</v>
      </c>
      <c r="H149" s="34" t="s">
        <v>270</v>
      </c>
      <c r="I149" s="34" t="s">
        <v>271</v>
      </c>
      <c r="J149" s="34" t="s">
        <v>272</v>
      </c>
    </row>
    <row r="150" customFormat="false" ht="15" hidden="false" customHeight="false" outlineLevel="0" collapsed="false">
      <c r="A150" s="15" t="n">
        <v>6</v>
      </c>
      <c r="B150" s="15" t="s">
        <v>234</v>
      </c>
      <c r="C150" s="16" t="s">
        <v>235</v>
      </c>
      <c r="D150" s="18" t="n">
        <v>0.791666666666667</v>
      </c>
      <c r="E150" s="18" t="n">
        <v>0.8125</v>
      </c>
      <c r="F150" s="19" t="n">
        <f aca="false">IF(AND(ISNUMBER(D150),ISNUMBER(E150)),ROUND((E150-D150)*1440,0),"")</f>
        <v>30</v>
      </c>
      <c r="G150" s="20" t="s">
        <v>2</v>
      </c>
      <c r="H150" s="21" t="s">
        <v>23</v>
      </c>
      <c r="I150" s="28"/>
      <c r="J150" s="21" t="s">
        <v>273</v>
      </c>
    </row>
    <row r="151" customFormat="false" ht="15" hidden="false" customHeight="false" outlineLevel="0" collapsed="false">
      <c r="A151" s="30" t="n">
        <v>6</v>
      </c>
      <c r="B151" s="30" t="s">
        <v>234</v>
      </c>
      <c r="C151" s="31" t="s">
        <v>235</v>
      </c>
      <c r="D151" s="32" t="n">
        <v>0.8125</v>
      </c>
      <c r="E151" s="32" t="n">
        <v>0.826388888888889</v>
      </c>
      <c r="F151" s="33" t="n">
        <f aca="false">IF(AND(ISNUMBER(D151),ISNUMBER(E151)),ROUND((E151-D151)*1440,0),"")</f>
        <v>20</v>
      </c>
      <c r="G151" s="31" t="s">
        <v>6</v>
      </c>
      <c r="H151" s="34" t="s">
        <v>274</v>
      </c>
      <c r="I151" s="34" t="s">
        <v>275</v>
      </c>
      <c r="J151" s="35"/>
    </row>
    <row r="152" customFormat="false" ht="15" hidden="false" customHeight="false" outlineLevel="0" collapsed="false">
      <c r="A152" s="15" t="n">
        <v>6</v>
      </c>
      <c r="B152" s="15" t="s">
        <v>234</v>
      </c>
      <c r="C152" s="16" t="s">
        <v>235</v>
      </c>
      <c r="D152" s="18" t="n">
        <v>0.826388888888889</v>
      </c>
      <c r="E152" s="18" t="n">
        <v>0.833333333333333</v>
      </c>
      <c r="F152" s="19" t="n">
        <f aca="false">IF(AND(ISNUMBER(D152),ISNUMBER(E152)),ROUND((E152-D152)*1440,0),"")</f>
        <v>10</v>
      </c>
      <c r="G152" s="20" t="s">
        <v>2</v>
      </c>
      <c r="H152" s="21" t="s">
        <v>23</v>
      </c>
      <c r="I152" s="28"/>
      <c r="J152" s="21" t="s">
        <v>276</v>
      </c>
    </row>
    <row r="153" customFormat="false" ht="15" hidden="false" customHeight="false" outlineLevel="0" collapsed="false">
      <c r="A153" s="38" t="n">
        <v>6</v>
      </c>
      <c r="B153" s="38" t="s">
        <v>234</v>
      </c>
      <c r="C153" s="39" t="s">
        <v>235</v>
      </c>
      <c r="D153" s="40" t="n">
        <v>0.833333333333333</v>
      </c>
      <c r="E153" s="40" t="n">
        <v>0.875</v>
      </c>
      <c r="F153" s="41" t="n">
        <f aca="false">IF(AND(ISNUMBER(D153),ISNUMBER(E153)),ROUND((E153-D153)*1440,0),"")</f>
        <v>60</v>
      </c>
      <c r="G153" s="42" t="s">
        <v>3</v>
      </c>
      <c r="H153" s="43" t="s">
        <v>277</v>
      </c>
      <c r="I153" s="43" t="s">
        <v>278</v>
      </c>
      <c r="J153" s="49"/>
    </row>
    <row r="154" customFormat="false" ht="15" hidden="false" customHeight="false" outlineLevel="0" collapsed="false">
      <c r="A154" s="15" t="n">
        <v>6</v>
      </c>
      <c r="B154" s="15" t="s">
        <v>234</v>
      </c>
      <c r="C154" s="16" t="s">
        <v>235</v>
      </c>
      <c r="D154" s="18" t="n">
        <v>0.875</v>
      </c>
      <c r="E154" s="18" t="n">
        <v>0.881944444444444</v>
      </c>
      <c r="F154" s="19" t="n">
        <f aca="false">IF(AND(ISNUMBER(D154),ISNUMBER(E154)),ROUND((E154-D154)*1440,0),"")</f>
        <v>10</v>
      </c>
      <c r="G154" s="20" t="s">
        <v>2</v>
      </c>
      <c r="H154" s="21" t="s">
        <v>23</v>
      </c>
      <c r="I154" s="28"/>
      <c r="J154" s="21" t="s">
        <v>279</v>
      </c>
    </row>
    <row r="155" customFormat="false" ht="15" hidden="false" customHeight="false" outlineLevel="0" collapsed="false">
      <c r="A155" s="44" t="n">
        <v>6</v>
      </c>
      <c r="B155" s="44" t="s">
        <v>234</v>
      </c>
      <c r="C155" s="45" t="s">
        <v>235</v>
      </c>
      <c r="D155" s="44"/>
      <c r="E155" s="44"/>
      <c r="F155" s="46" t="str">
        <f aca="false">IF(AND(ISNUMBER(D155),ISNUMBER(E155)),ROUND((E155-D155)*1440,0),"")</f>
        <v/>
      </c>
      <c r="G155" s="47" t="s">
        <v>4</v>
      </c>
      <c r="H155" s="50" t="s">
        <v>53</v>
      </c>
      <c r="I155" s="50" t="s">
        <v>280</v>
      </c>
      <c r="J155" s="50"/>
    </row>
    <row r="156" customFormat="false" ht="15" hidden="false" customHeight="false" outlineLevel="0" collapsed="false">
      <c r="A156" s="10" t="n">
        <v>7</v>
      </c>
      <c r="B156" s="10" t="s">
        <v>281</v>
      </c>
      <c r="C156" s="11" t="s">
        <v>282</v>
      </c>
      <c r="D156" s="10"/>
      <c r="E156" s="10"/>
      <c r="F156" s="12" t="str">
        <f aca="false">IF(AND(ISNUMBER(D156),ISNUMBER(E156)),ROUND((E156-D156)*1440,0),"")</f>
        <v/>
      </c>
      <c r="G156" s="13" t="s">
        <v>4</v>
      </c>
      <c r="H156" s="14" t="s">
        <v>20</v>
      </c>
      <c r="I156" s="37" t="s">
        <v>280</v>
      </c>
      <c r="J156" s="37"/>
    </row>
    <row r="157" customFormat="false" ht="15" hidden="false" customHeight="false" outlineLevel="0" collapsed="false">
      <c r="A157" s="38" t="n">
        <v>7</v>
      </c>
      <c r="B157" s="38" t="s">
        <v>281</v>
      </c>
      <c r="C157" s="39" t="s">
        <v>282</v>
      </c>
      <c r="D157" s="38"/>
      <c r="E157" s="38"/>
      <c r="F157" s="41" t="str">
        <f aca="false">IF(AND(ISNUMBER(D157),ISNUMBER(E157)),ROUND((E157-D157)*1440,0),"")</f>
        <v/>
      </c>
      <c r="G157" s="42" t="s">
        <v>3</v>
      </c>
      <c r="H157" s="43" t="s">
        <v>283</v>
      </c>
      <c r="I157" s="49" t="s">
        <v>280</v>
      </c>
      <c r="J157" s="49"/>
    </row>
    <row r="158" customFormat="false" ht="15" hidden="false" customHeight="false" outlineLevel="0" collapsed="false">
      <c r="A158" s="15" t="n">
        <v>7</v>
      </c>
      <c r="B158" s="15" t="s">
        <v>281</v>
      </c>
      <c r="C158" s="16" t="s">
        <v>282</v>
      </c>
      <c r="D158" s="18" t="n">
        <v>0.322916666666667</v>
      </c>
      <c r="E158" s="18" t="n">
        <v>0.333333333333333</v>
      </c>
      <c r="F158" s="19" t="n">
        <f aca="false">IF(AND(ISNUMBER(D158),ISNUMBER(E158)),ROUND((E158-D158)*1440,0),"")</f>
        <v>15</v>
      </c>
      <c r="G158" s="20" t="s">
        <v>2</v>
      </c>
      <c r="H158" s="21" t="s">
        <v>23</v>
      </c>
      <c r="I158" s="28"/>
      <c r="J158" s="21" t="s">
        <v>284</v>
      </c>
    </row>
    <row r="159" customFormat="false" ht="15" hidden="false" customHeight="false" outlineLevel="0" collapsed="false">
      <c r="A159" s="30" t="n">
        <v>7</v>
      </c>
      <c r="B159" s="30" t="s">
        <v>281</v>
      </c>
      <c r="C159" s="31" t="s">
        <v>282</v>
      </c>
      <c r="D159" s="32" t="n">
        <v>0.333333333333333</v>
      </c>
      <c r="E159" s="32" t="n">
        <v>0.354166666666667</v>
      </c>
      <c r="F159" s="33" t="n">
        <f aca="false">IF(AND(ISNUMBER(D159),ISNUMBER(E159)),ROUND((E159-D159)*1440,0),"")</f>
        <v>30</v>
      </c>
      <c r="G159" s="31" t="s">
        <v>6</v>
      </c>
      <c r="H159" s="34" t="s">
        <v>285</v>
      </c>
      <c r="I159" s="34" t="s">
        <v>286</v>
      </c>
      <c r="J159" s="35"/>
    </row>
    <row r="160" customFormat="false" ht="15" hidden="false" customHeight="false" outlineLevel="0" collapsed="false">
      <c r="A160" s="15" t="n">
        <v>7</v>
      </c>
      <c r="B160" s="15" t="s">
        <v>281</v>
      </c>
      <c r="C160" s="16" t="s">
        <v>282</v>
      </c>
      <c r="D160" s="18" t="n">
        <v>0.354166666666667</v>
      </c>
      <c r="E160" s="18" t="n">
        <v>0.375</v>
      </c>
      <c r="F160" s="19" t="n">
        <f aca="false">IF(AND(ISNUMBER(D160),ISNUMBER(E160)),ROUND((E160-D160)*1440,0),"")</f>
        <v>30</v>
      </c>
      <c r="G160" s="20" t="s">
        <v>2</v>
      </c>
      <c r="H160" s="21" t="s">
        <v>23</v>
      </c>
      <c r="I160" s="28"/>
      <c r="J160" s="21" t="s">
        <v>287</v>
      </c>
    </row>
    <row r="161" customFormat="false" ht="15" hidden="false" customHeight="false" outlineLevel="0" collapsed="false">
      <c r="A161" s="30" t="n">
        <v>7</v>
      </c>
      <c r="B161" s="30" t="s">
        <v>281</v>
      </c>
      <c r="C161" s="31" t="s">
        <v>282</v>
      </c>
      <c r="D161" s="32" t="n">
        <v>0.375</v>
      </c>
      <c r="E161" s="32" t="n">
        <v>0.40625</v>
      </c>
      <c r="F161" s="33" t="n">
        <f aca="false">IF(AND(ISNUMBER(D161),ISNUMBER(E161)),ROUND((E161-D161)*1440,0),"")</f>
        <v>45</v>
      </c>
      <c r="G161" s="31" t="s">
        <v>6</v>
      </c>
      <c r="H161" s="34" t="s">
        <v>288</v>
      </c>
      <c r="I161" s="34" t="s">
        <v>289</v>
      </c>
      <c r="J161" s="34" t="s">
        <v>290</v>
      </c>
    </row>
    <row r="162" customFormat="false" ht="15" hidden="false" customHeight="false" outlineLevel="0" collapsed="false">
      <c r="A162" s="15" t="n">
        <v>7</v>
      </c>
      <c r="B162" s="15" t="s">
        <v>281</v>
      </c>
      <c r="C162" s="16" t="s">
        <v>282</v>
      </c>
      <c r="D162" s="18" t="n">
        <v>0.40625</v>
      </c>
      <c r="E162" s="18" t="n">
        <v>0.416666666666667</v>
      </c>
      <c r="F162" s="19" t="n">
        <f aca="false">IF(AND(ISNUMBER(D162),ISNUMBER(E162)),ROUND((E162-D162)*1440,0),"")</f>
        <v>15</v>
      </c>
      <c r="G162" s="20" t="s">
        <v>2</v>
      </c>
      <c r="H162" s="21" t="s">
        <v>23</v>
      </c>
      <c r="I162" s="28"/>
      <c r="J162" s="28"/>
    </row>
    <row r="163" customFormat="false" ht="15" hidden="false" customHeight="false" outlineLevel="0" collapsed="false">
      <c r="A163" s="30" t="n">
        <v>7</v>
      </c>
      <c r="B163" s="30" t="s">
        <v>281</v>
      </c>
      <c r="C163" s="31" t="s">
        <v>282</v>
      </c>
      <c r="D163" s="32" t="n">
        <v>0.416666666666667</v>
      </c>
      <c r="E163" s="32" t="n">
        <v>0.5</v>
      </c>
      <c r="F163" s="33" t="n">
        <f aca="false">IF(AND(ISNUMBER(D163),ISNUMBER(E163)),ROUND((E163-D163)*1440,0),"")</f>
        <v>120</v>
      </c>
      <c r="G163" s="31" t="s">
        <v>6</v>
      </c>
      <c r="H163" s="34" t="s">
        <v>291</v>
      </c>
      <c r="I163" s="34" t="s">
        <v>292</v>
      </c>
      <c r="J163" s="34" t="s">
        <v>293</v>
      </c>
    </row>
    <row r="164" customFormat="false" ht="15" hidden="false" customHeight="false" outlineLevel="0" collapsed="false">
      <c r="A164" s="15" t="n">
        <v>7</v>
      </c>
      <c r="B164" s="15" t="s">
        <v>281</v>
      </c>
      <c r="C164" s="16" t="s">
        <v>282</v>
      </c>
      <c r="D164" s="18" t="n">
        <v>0.5</v>
      </c>
      <c r="E164" s="18" t="n">
        <v>0.503472222222222</v>
      </c>
      <c r="F164" s="19" t="n">
        <f aca="false">IF(AND(ISNUMBER(D164),ISNUMBER(E164)),ROUND((E164-D164)*1440,0),"")</f>
        <v>5</v>
      </c>
      <c r="G164" s="20" t="s">
        <v>2</v>
      </c>
      <c r="H164" s="21" t="s">
        <v>23</v>
      </c>
      <c r="I164" s="28"/>
      <c r="J164" s="28"/>
    </row>
    <row r="165" customFormat="false" ht="15" hidden="false" customHeight="false" outlineLevel="0" collapsed="false">
      <c r="A165" s="38" t="n">
        <v>7</v>
      </c>
      <c r="B165" s="38" t="s">
        <v>281</v>
      </c>
      <c r="C165" s="39" t="s">
        <v>282</v>
      </c>
      <c r="D165" s="40" t="n">
        <v>0.503472222222222</v>
      </c>
      <c r="E165" s="40" t="n">
        <v>0.545138888888889</v>
      </c>
      <c r="F165" s="41" t="n">
        <f aca="false">IF(AND(ISNUMBER(D165),ISNUMBER(E165)),ROUND((E165-D165)*1440,0),"")</f>
        <v>60</v>
      </c>
      <c r="G165" s="42" t="s">
        <v>3</v>
      </c>
      <c r="H165" s="43" t="s">
        <v>294</v>
      </c>
      <c r="I165" s="43" t="s">
        <v>295</v>
      </c>
      <c r="J165" s="49" t="s">
        <v>296</v>
      </c>
    </row>
    <row r="166" customFormat="false" ht="15" hidden="false" customHeight="false" outlineLevel="0" collapsed="false">
      <c r="A166" s="15" t="n">
        <v>7</v>
      </c>
      <c r="B166" s="15" t="s">
        <v>281</v>
      </c>
      <c r="C166" s="16" t="s">
        <v>282</v>
      </c>
      <c r="D166" s="18" t="n">
        <v>0.545138888888889</v>
      </c>
      <c r="E166" s="18" t="n">
        <v>0.645833333333333</v>
      </c>
      <c r="F166" s="19" t="n">
        <f aca="false">IF(AND(ISNUMBER(D166),ISNUMBER(E166)),ROUND((E166-D166)*1440,0),"")</f>
        <v>145</v>
      </c>
      <c r="G166" s="20" t="s">
        <v>2</v>
      </c>
      <c r="H166" s="21" t="s">
        <v>23</v>
      </c>
      <c r="I166" s="28"/>
      <c r="J166" s="28" t="s">
        <v>297</v>
      </c>
    </row>
    <row r="167" customFormat="false" ht="15" hidden="false" customHeight="false" outlineLevel="0" collapsed="false">
      <c r="A167" s="10" t="n">
        <v>7</v>
      </c>
      <c r="B167" s="10" t="s">
        <v>281</v>
      </c>
      <c r="C167" s="11" t="s">
        <v>282</v>
      </c>
      <c r="D167" s="36" t="n">
        <v>0.645833333333333</v>
      </c>
      <c r="E167" s="36" t="n">
        <v>0.677083333333333</v>
      </c>
      <c r="F167" s="12" t="n">
        <f aca="false">IF(AND(ISNUMBER(D167),ISNUMBER(E167)),ROUND((E167-D167)*1440,0),"")</f>
        <v>45</v>
      </c>
      <c r="G167" s="13" t="s">
        <v>4</v>
      </c>
      <c r="H167" s="37" t="s">
        <v>53</v>
      </c>
      <c r="I167" s="37" t="s">
        <v>298</v>
      </c>
      <c r="J167" s="14" t="s">
        <v>299</v>
      </c>
    </row>
    <row r="168" customFormat="false" ht="15" hidden="false" customHeight="false" outlineLevel="0" collapsed="false">
      <c r="A168" s="22" t="n">
        <v>7</v>
      </c>
      <c r="B168" s="22" t="s">
        <v>281</v>
      </c>
      <c r="C168" s="23" t="s">
        <v>282</v>
      </c>
      <c r="D168" s="24" t="n">
        <v>0.65625</v>
      </c>
      <c r="E168" s="24" t="n">
        <v>0.677083333333333</v>
      </c>
      <c r="F168" s="25" t="n">
        <f aca="false">IF(AND(ISNUMBER(D168),ISNUMBER(E168)),ROUND((E168-D168)*1440,0),"")</f>
        <v>30</v>
      </c>
      <c r="G168" s="26" t="s">
        <v>5</v>
      </c>
      <c r="H168" s="27" t="s">
        <v>300</v>
      </c>
      <c r="I168" s="29" t="s">
        <v>301</v>
      </c>
      <c r="J168" s="29"/>
    </row>
    <row r="169" customFormat="false" ht="15" hidden="false" customHeight="false" outlineLevel="0" collapsed="false">
      <c r="A169" s="15" t="n">
        <v>7</v>
      </c>
      <c r="B169" s="15" t="s">
        <v>281</v>
      </c>
      <c r="C169" s="16" t="s">
        <v>282</v>
      </c>
      <c r="D169" s="18" t="n">
        <v>0.677083333333333</v>
      </c>
      <c r="E169" s="18" t="n">
        <v>0.6875</v>
      </c>
      <c r="F169" s="19" t="n">
        <f aca="false">IF(AND(ISNUMBER(D169),ISNUMBER(E169)),ROUND((E169-D169)*1440,0),"")</f>
        <v>15</v>
      </c>
      <c r="G169" s="20" t="s">
        <v>2</v>
      </c>
      <c r="H169" s="21" t="s">
        <v>302</v>
      </c>
      <c r="I169" s="28"/>
      <c r="J169" s="28"/>
    </row>
    <row r="170" customFormat="false" ht="15" hidden="false" customHeight="false" outlineLevel="0" collapsed="false">
      <c r="A170" s="15" t="n">
        <v>7</v>
      </c>
      <c r="B170" s="15" t="s">
        <v>281</v>
      </c>
      <c r="C170" s="16" t="s">
        <v>282</v>
      </c>
      <c r="D170" s="18" t="n">
        <v>0.6875</v>
      </c>
      <c r="E170" s="18" t="n">
        <v>0.697222222222222</v>
      </c>
      <c r="F170" s="19" t="n">
        <f aca="false">IF(AND(ISNUMBER(D170),ISNUMBER(E170)),ROUND((E170-D170)*1440,0),"")</f>
        <v>14</v>
      </c>
      <c r="G170" s="20" t="s">
        <v>2</v>
      </c>
      <c r="H170" s="21" t="s">
        <v>303</v>
      </c>
      <c r="I170" s="28"/>
      <c r="J170" s="21" t="s">
        <v>304</v>
      </c>
    </row>
    <row r="171" customFormat="false" ht="15" hidden="false" customHeight="false" outlineLevel="0" collapsed="false">
      <c r="A171" s="38" t="n">
        <v>7</v>
      </c>
      <c r="B171" s="38" t="s">
        <v>281</v>
      </c>
      <c r="C171" s="39" t="s">
        <v>282</v>
      </c>
      <c r="D171" s="40" t="n">
        <v>0.697916666666667</v>
      </c>
      <c r="E171" s="40" t="n">
        <v>0.875</v>
      </c>
      <c r="F171" s="41" t="n">
        <f aca="false">IF(AND(ISNUMBER(D171),ISNUMBER(E171)),ROUND((E171-D171)*1440,0),"")</f>
        <v>255</v>
      </c>
      <c r="G171" s="42" t="s">
        <v>3</v>
      </c>
      <c r="H171" s="43" t="s">
        <v>305</v>
      </c>
      <c r="I171" s="43" t="s">
        <v>306</v>
      </c>
      <c r="J171" s="49" t="s">
        <v>307</v>
      </c>
    </row>
    <row r="172" customFormat="false" ht="15" hidden="false" customHeight="false" outlineLevel="0" collapsed="false">
      <c r="A172" s="15" t="n">
        <v>7</v>
      </c>
      <c r="B172" s="15" t="s">
        <v>281</v>
      </c>
      <c r="C172" s="16" t="s">
        <v>282</v>
      </c>
      <c r="D172" s="18" t="n">
        <v>0.880555555555556</v>
      </c>
      <c r="E172" s="18" t="n">
        <v>0.890972222222222</v>
      </c>
      <c r="F172" s="19" t="n">
        <f aca="false">IF(AND(ISNUMBER(D172),ISNUMBER(E172)),ROUND((E172-D172)*1440,0),"")</f>
        <v>15</v>
      </c>
      <c r="G172" s="20" t="s">
        <v>2</v>
      </c>
      <c r="H172" s="21" t="s">
        <v>308</v>
      </c>
      <c r="I172" s="28"/>
      <c r="J172" s="21" t="s">
        <v>309</v>
      </c>
    </row>
    <row r="173" customFormat="false" ht="15" hidden="false" customHeight="false" outlineLevel="0" collapsed="false">
      <c r="A173" s="15" t="n">
        <v>7</v>
      </c>
      <c r="B173" s="15" t="s">
        <v>281</v>
      </c>
      <c r="C173" s="16" t="s">
        <v>282</v>
      </c>
      <c r="D173" s="18" t="n">
        <v>0.890972222222222</v>
      </c>
      <c r="E173" s="18" t="n">
        <v>0.895833333333333</v>
      </c>
      <c r="F173" s="19" t="n">
        <f aca="false">IF(AND(ISNUMBER(D173),ISNUMBER(E173)),ROUND((E173-D173)*1440,0),"")</f>
        <v>7</v>
      </c>
      <c r="G173" s="20" t="s">
        <v>2</v>
      </c>
      <c r="H173" s="21" t="s">
        <v>310</v>
      </c>
      <c r="I173" s="28"/>
      <c r="J173" s="28"/>
    </row>
    <row r="174" customFormat="false" ht="15" hidden="false" customHeight="false" outlineLevel="0" collapsed="false">
      <c r="A174" s="44" t="n">
        <v>7</v>
      </c>
      <c r="B174" s="44" t="s">
        <v>281</v>
      </c>
      <c r="C174" s="45" t="s">
        <v>282</v>
      </c>
      <c r="D174" s="44"/>
      <c r="E174" s="44"/>
      <c r="F174" s="46" t="str">
        <f aca="false">IF(AND(ISNUMBER(D174),ISNUMBER(E174)),ROUND((E174-D174)*1440,0),"")</f>
        <v/>
      </c>
      <c r="G174" s="47" t="s">
        <v>4</v>
      </c>
      <c r="H174" s="48" t="s">
        <v>311</v>
      </c>
      <c r="I174" s="50" t="s">
        <v>298</v>
      </c>
      <c r="J174" s="50"/>
    </row>
    <row r="175" customFormat="false" ht="15" hidden="false" customHeight="false" outlineLevel="0" collapsed="false">
      <c r="A175" s="10" t="n">
        <v>8</v>
      </c>
      <c r="B175" s="10" t="s">
        <v>312</v>
      </c>
      <c r="C175" s="11" t="s">
        <v>19</v>
      </c>
      <c r="D175" s="10"/>
      <c r="E175" s="10"/>
      <c r="F175" s="12" t="str">
        <f aca="false">IF(AND(ISNUMBER(D175),ISNUMBER(E175)),ROUND((E175-D175)*1440,0),"")</f>
        <v/>
      </c>
      <c r="G175" s="13" t="s">
        <v>4</v>
      </c>
      <c r="H175" s="14" t="s">
        <v>20</v>
      </c>
      <c r="I175" s="37" t="s">
        <v>298</v>
      </c>
      <c r="J175" s="37"/>
    </row>
    <row r="176" customFormat="false" ht="15" hidden="false" customHeight="false" outlineLevel="0" collapsed="false">
      <c r="A176" s="15" t="n">
        <v>8</v>
      </c>
      <c r="B176" s="15" t="s">
        <v>312</v>
      </c>
      <c r="C176" s="16" t="s">
        <v>19</v>
      </c>
      <c r="D176" s="18" t="n">
        <v>0.354166666666667</v>
      </c>
      <c r="E176" s="18" t="n">
        <v>0.368055555555556</v>
      </c>
      <c r="F176" s="19" t="n">
        <f aca="false">IF(AND(ISNUMBER(D176),ISNUMBER(E176)),ROUND((E176-D176)*1440,0),"")</f>
        <v>20</v>
      </c>
      <c r="G176" s="20" t="s">
        <v>2</v>
      </c>
      <c r="H176" s="21" t="s">
        <v>313</v>
      </c>
      <c r="I176" s="21" t="s">
        <v>314</v>
      </c>
      <c r="J176" s="21" t="s">
        <v>315</v>
      </c>
    </row>
    <row r="177" customFormat="false" ht="15" hidden="false" customHeight="false" outlineLevel="0" collapsed="false">
      <c r="A177" s="30" t="n">
        <v>8</v>
      </c>
      <c r="B177" s="30" t="s">
        <v>312</v>
      </c>
      <c r="C177" s="31" t="s">
        <v>19</v>
      </c>
      <c r="D177" s="32" t="n">
        <v>0.368055555555556</v>
      </c>
      <c r="E177" s="32" t="n">
        <v>0.395833333333333</v>
      </c>
      <c r="F177" s="33" t="n">
        <f aca="false">IF(AND(ISNUMBER(D177),ISNUMBER(E177)),ROUND((E177-D177)*1440,0),"")</f>
        <v>40</v>
      </c>
      <c r="G177" s="31" t="s">
        <v>6</v>
      </c>
      <c r="H177" s="34" t="s">
        <v>178</v>
      </c>
      <c r="I177" s="34" t="s">
        <v>316</v>
      </c>
      <c r="J177" s="34" t="s">
        <v>317</v>
      </c>
    </row>
    <row r="178" customFormat="false" ht="15" hidden="false" customHeight="false" outlineLevel="0" collapsed="false">
      <c r="A178" s="22" t="n">
        <v>8</v>
      </c>
      <c r="B178" s="22" t="s">
        <v>312</v>
      </c>
      <c r="C178" s="23" t="s">
        <v>19</v>
      </c>
      <c r="D178" s="24" t="n">
        <v>0.392361111111111</v>
      </c>
      <c r="E178" s="24" t="n">
        <v>0.399305555555556</v>
      </c>
      <c r="F178" s="25" t="n">
        <f aca="false">IF(AND(ISNUMBER(D178),ISNUMBER(E178)),ROUND((E178-D178)*1440,0),"")</f>
        <v>10</v>
      </c>
      <c r="G178" s="26" t="s">
        <v>5</v>
      </c>
      <c r="H178" s="27" t="s">
        <v>318</v>
      </c>
      <c r="I178" s="27" t="s">
        <v>319</v>
      </c>
      <c r="J178" s="29"/>
    </row>
    <row r="179" customFormat="false" ht="15" hidden="false" customHeight="false" outlineLevel="0" collapsed="false">
      <c r="A179" s="30" t="n">
        <v>8</v>
      </c>
      <c r="B179" s="30" t="s">
        <v>312</v>
      </c>
      <c r="C179" s="31" t="s">
        <v>19</v>
      </c>
      <c r="D179" s="32" t="n">
        <v>0.399305555555556</v>
      </c>
      <c r="E179" s="32" t="n">
        <v>0.413194444444444</v>
      </c>
      <c r="F179" s="33" t="n">
        <f aca="false">IF(AND(ISNUMBER(D179),ISNUMBER(E179)),ROUND((E179-D179)*1440,0),"")</f>
        <v>20</v>
      </c>
      <c r="G179" s="31" t="s">
        <v>6</v>
      </c>
      <c r="H179" s="34" t="s">
        <v>320</v>
      </c>
      <c r="I179" s="34" t="s">
        <v>314</v>
      </c>
      <c r="J179" s="35"/>
    </row>
    <row r="180" customFormat="false" ht="15" hidden="false" customHeight="false" outlineLevel="0" collapsed="false">
      <c r="A180" s="22" t="n">
        <v>8</v>
      </c>
      <c r="B180" s="22" t="s">
        <v>312</v>
      </c>
      <c r="C180" s="23" t="s">
        <v>19</v>
      </c>
      <c r="D180" s="24" t="n">
        <v>0.413194444444444</v>
      </c>
      <c r="E180" s="24" t="n">
        <v>0.420138888888889</v>
      </c>
      <c r="F180" s="25" t="n">
        <f aca="false">IF(AND(ISNUMBER(D180),ISNUMBER(E180)),ROUND((E180-D180)*1440,0),"")</f>
        <v>10</v>
      </c>
      <c r="G180" s="26" t="s">
        <v>5</v>
      </c>
      <c r="H180" s="27" t="s">
        <v>318</v>
      </c>
      <c r="I180" s="27" t="s">
        <v>321</v>
      </c>
      <c r="J180" s="29"/>
    </row>
    <row r="181" customFormat="false" ht="29.85" hidden="false" customHeight="false" outlineLevel="0" collapsed="false">
      <c r="A181" s="38" t="n">
        <v>8</v>
      </c>
      <c r="B181" s="38" t="s">
        <v>312</v>
      </c>
      <c r="C181" s="39" t="s">
        <v>19</v>
      </c>
      <c r="D181" s="40" t="n">
        <v>0.423611111111111</v>
      </c>
      <c r="E181" s="40" t="n">
        <v>0.465277777777778</v>
      </c>
      <c r="F181" s="41" t="n">
        <f aca="false">IF(AND(ISNUMBER(D181),ISNUMBER(E181)),ROUND((E181-D181)*1440,0),"")</f>
        <v>60</v>
      </c>
      <c r="G181" s="42" t="s">
        <v>3</v>
      </c>
      <c r="H181" s="43" t="s">
        <v>322</v>
      </c>
      <c r="I181" s="43" t="s">
        <v>319</v>
      </c>
      <c r="J181" s="43" t="s">
        <v>323</v>
      </c>
    </row>
    <row r="182" customFormat="false" ht="15" hidden="false" customHeight="false" outlineLevel="0" collapsed="false">
      <c r="A182" s="38" t="n">
        <v>8</v>
      </c>
      <c r="B182" s="38" t="s">
        <v>312</v>
      </c>
      <c r="C182" s="39" t="s">
        <v>19</v>
      </c>
      <c r="D182" s="40" t="n">
        <v>0.465277777777778</v>
      </c>
      <c r="E182" s="40" t="n">
        <v>0.506944444444444</v>
      </c>
      <c r="F182" s="41" t="n">
        <f aca="false">IF(AND(ISNUMBER(D182),ISNUMBER(E182)),ROUND((E182-D182)*1440,0),"")</f>
        <v>60</v>
      </c>
      <c r="G182" s="42" t="s">
        <v>3</v>
      </c>
      <c r="H182" s="43" t="s">
        <v>322</v>
      </c>
      <c r="I182" s="43" t="s">
        <v>321</v>
      </c>
      <c r="J182" s="43" t="s">
        <v>324</v>
      </c>
    </row>
    <row r="183" customFormat="false" ht="15" hidden="false" customHeight="false" outlineLevel="0" collapsed="false">
      <c r="A183" s="30" t="n">
        <v>8</v>
      </c>
      <c r="B183" s="30" t="s">
        <v>312</v>
      </c>
      <c r="C183" s="31" t="s">
        <v>19</v>
      </c>
      <c r="D183" s="32" t="n">
        <v>0.506944444444444</v>
      </c>
      <c r="E183" s="32" t="n">
        <v>0.541666666666667</v>
      </c>
      <c r="F183" s="33" t="n">
        <f aca="false">IF(AND(ISNUMBER(D183),ISNUMBER(E183)),ROUND((E183-D183)*1440,0),"")</f>
        <v>50</v>
      </c>
      <c r="G183" s="31" t="s">
        <v>6</v>
      </c>
      <c r="H183" s="34" t="s">
        <v>325</v>
      </c>
      <c r="I183" s="34" t="s">
        <v>314</v>
      </c>
      <c r="J183" s="35"/>
    </row>
    <row r="184" customFormat="false" ht="15" hidden="false" customHeight="false" outlineLevel="0" collapsed="false">
      <c r="A184" s="15" t="n">
        <v>8</v>
      </c>
      <c r="B184" s="15" t="s">
        <v>312</v>
      </c>
      <c r="C184" s="16" t="s">
        <v>19</v>
      </c>
      <c r="D184" s="18" t="n">
        <v>0.541666666666667</v>
      </c>
      <c r="E184" s="18" t="n">
        <v>0.555555555555556</v>
      </c>
      <c r="F184" s="19" t="n">
        <f aca="false">IF(AND(ISNUMBER(D184),ISNUMBER(E184)),ROUND((E184-D184)*1440,0),"")</f>
        <v>20</v>
      </c>
      <c r="G184" s="20" t="s">
        <v>2</v>
      </c>
      <c r="H184" s="21" t="s">
        <v>124</v>
      </c>
      <c r="I184" s="28"/>
      <c r="J184" s="28"/>
    </row>
    <row r="185" customFormat="false" ht="15" hidden="false" customHeight="false" outlineLevel="0" collapsed="false">
      <c r="A185" s="22" t="n">
        <v>8</v>
      </c>
      <c r="B185" s="22" t="s">
        <v>312</v>
      </c>
      <c r="C185" s="23" t="s">
        <v>19</v>
      </c>
      <c r="D185" s="24" t="n">
        <v>0.555555555555556</v>
      </c>
      <c r="E185" s="24" t="n">
        <v>0.5625</v>
      </c>
      <c r="F185" s="25" t="n">
        <f aca="false">IF(AND(ISNUMBER(D185),ISNUMBER(E185)),ROUND((E185-D185)*1440,0),"")</f>
        <v>10</v>
      </c>
      <c r="G185" s="26" t="s">
        <v>5</v>
      </c>
      <c r="H185" s="27" t="s">
        <v>326</v>
      </c>
      <c r="I185" s="29" t="s">
        <v>298</v>
      </c>
      <c r="J185" s="29"/>
    </row>
    <row r="186" customFormat="false" ht="15" hidden="false" customHeight="false" outlineLevel="0" collapsed="false">
      <c r="A186" s="15" t="n">
        <v>8</v>
      </c>
      <c r="B186" s="15" t="s">
        <v>312</v>
      </c>
      <c r="C186" s="16" t="s">
        <v>19</v>
      </c>
      <c r="D186" s="18" t="n">
        <v>0.5625</v>
      </c>
      <c r="E186" s="18" t="n">
        <v>0.582638888888889</v>
      </c>
      <c r="F186" s="19" t="n">
        <f aca="false">IF(AND(ISNUMBER(D186),ISNUMBER(E186)),ROUND((E186-D186)*1440,0),"")</f>
        <v>29</v>
      </c>
      <c r="G186" s="20" t="s">
        <v>2</v>
      </c>
      <c r="H186" s="21" t="s">
        <v>327</v>
      </c>
      <c r="I186" s="28"/>
      <c r="J186" s="28"/>
    </row>
    <row r="187" customFormat="false" ht="29.85" hidden="false" customHeight="false" outlineLevel="0" collapsed="false">
      <c r="A187" s="15" t="n">
        <v>8</v>
      </c>
      <c r="B187" s="15" t="s">
        <v>312</v>
      </c>
      <c r="C187" s="16" t="s">
        <v>19</v>
      </c>
      <c r="D187" s="18" t="n">
        <v>0.582638888888889</v>
      </c>
      <c r="E187" s="18" t="n">
        <v>0.586805555555556</v>
      </c>
      <c r="F187" s="19" t="n">
        <f aca="false">IF(AND(ISNUMBER(D187),ISNUMBER(E187)),ROUND((E187-D187)*1440,0),"")</f>
        <v>6</v>
      </c>
      <c r="G187" s="20" t="s">
        <v>2</v>
      </c>
      <c r="H187" s="21" t="s">
        <v>328</v>
      </c>
      <c r="I187" s="21" t="s">
        <v>329</v>
      </c>
      <c r="J187" s="28" t="s">
        <v>330</v>
      </c>
    </row>
    <row r="188" customFormat="false" ht="15" hidden="false" customHeight="false" outlineLevel="0" collapsed="false">
      <c r="A188" s="15" t="n">
        <v>8</v>
      </c>
      <c r="B188" s="15" t="s">
        <v>312</v>
      </c>
      <c r="C188" s="16" t="s">
        <v>19</v>
      </c>
      <c r="D188" s="18" t="n">
        <v>0.586805555555556</v>
      </c>
      <c r="E188" s="18" t="n">
        <v>0.597222222222222</v>
      </c>
      <c r="F188" s="19" t="n">
        <f aca="false">IF(AND(ISNUMBER(D188),ISNUMBER(E188)),ROUND((E188-D188)*1440,0),"")</f>
        <v>15</v>
      </c>
      <c r="G188" s="20" t="s">
        <v>2</v>
      </c>
      <c r="H188" s="21" t="s">
        <v>331</v>
      </c>
      <c r="I188" s="28" t="s">
        <v>332</v>
      </c>
      <c r="J188" s="28"/>
    </row>
    <row r="189" customFormat="false" ht="15" hidden="false" customHeight="false" outlineLevel="0" collapsed="false">
      <c r="A189" s="22" t="n">
        <v>8</v>
      </c>
      <c r="B189" s="22" t="s">
        <v>312</v>
      </c>
      <c r="C189" s="23" t="s">
        <v>19</v>
      </c>
      <c r="D189" s="24" t="n">
        <v>0.597222222222222</v>
      </c>
      <c r="E189" s="24" t="n">
        <v>0.680555555555556</v>
      </c>
      <c r="F189" s="25" t="n">
        <f aca="false">IF(AND(ISNUMBER(D189),ISNUMBER(E189)),ROUND((E189-D189)*1440,0),"")</f>
        <v>120</v>
      </c>
      <c r="G189" s="26" t="s">
        <v>5</v>
      </c>
      <c r="H189" s="27" t="s">
        <v>333</v>
      </c>
      <c r="I189" s="27" t="s">
        <v>33</v>
      </c>
      <c r="J189" s="29"/>
    </row>
    <row r="190" customFormat="false" ht="15" hidden="false" customHeight="false" outlineLevel="0" collapsed="false">
      <c r="A190" s="15" t="n">
        <v>8</v>
      </c>
      <c r="B190" s="15" t="s">
        <v>312</v>
      </c>
      <c r="C190" s="16" t="s">
        <v>19</v>
      </c>
      <c r="D190" s="18" t="n">
        <v>0.680555555555556</v>
      </c>
      <c r="E190" s="18" t="n">
        <v>0.791666666666667</v>
      </c>
      <c r="F190" s="19" t="n">
        <f aca="false">IF(AND(ISNUMBER(D190),ISNUMBER(E190)),ROUND((E190-D190)*1440,0),"")</f>
        <v>160</v>
      </c>
      <c r="G190" s="20" t="s">
        <v>2</v>
      </c>
      <c r="H190" s="21" t="s">
        <v>29</v>
      </c>
      <c r="I190" s="28" t="s">
        <v>334</v>
      </c>
      <c r="J190" s="21" t="s">
        <v>335</v>
      </c>
    </row>
    <row r="191" customFormat="false" ht="15" hidden="false" customHeight="false" outlineLevel="0" collapsed="false">
      <c r="A191" s="22" t="n">
        <v>8</v>
      </c>
      <c r="B191" s="22" t="s">
        <v>312</v>
      </c>
      <c r="C191" s="23" t="s">
        <v>19</v>
      </c>
      <c r="D191" s="22"/>
      <c r="E191" s="22"/>
      <c r="F191" s="25" t="str">
        <f aca="false">IF(AND(ISNUMBER(D191),ISNUMBER(E191)),ROUND((E191-D191)*1440,0),"")</f>
        <v/>
      </c>
      <c r="G191" s="26" t="s">
        <v>5</v>
      </c>
      <c r="H191" s="27" t="s">
        <v>32</v>
      </c>
      <c r="I191" s="27" t="s">
        <v>336</v>
      </c>
      <c r="J191" s="29"/>
    </row>
    <row r="192" customFormat="false" ht="15" hidden="false" customHeight="false" outlineLevel="0" collapsed="false">
      <c r="A192" s="15" t="n">
        <v>8</v>
      </c>
      <c r="B192" s="15" t="s">
        <v>312</v>
      </c>
      <c r="C192" s="16" t="s">
        <v>19</v>
      </c>
      <c r="D192" s="15"/>
      <c r="E192" s="15"/>
      <c r="F192" s="19" t="str">
        <f aca="false">IF(AND(ISNUMBER(D192),ISNUMBER(E192)),ROUND((E192-D192)*1440,0),"")</f>
        <v/>
      </c>
      <c r="G192" s="20" t="s">
        <v>2</v>
      </c>
      <c r="H192" s="21" t="s">
        <v>23</v>
      </c>
      <c r="I192" s="28"/>
      <c r="J192" s="28"/>
    </row>
    <row r="193" customFormat="false" ht="15" hidden="false" customHeight="false" outlineLevel="0" collapsed="false">
      <c r="A193" s="51" t="n">
        <v>8</v>
      </c>
      <c r="B193" s="51" t="s">
        <v>312</v>
      </c>
      <c r="C193" s="52" t="s">
        <v>19</v>
      </c>
      <c r="D193" s="51"/>
      <c r="E193" s="51"/>
      <c r="F193" s="53" t="str">
        <f aca="false">IF(AND(ISNUMBER(D193),ISNUMBER(E193)),ROUND((E193-D193)*1440,0),"")</f>
        <v/>
      </c>
      <c r="G193" s="52" t="s">
        <v>6</v>
      </c>
      <c r="H193" s="54"/>
      <c r="I193" s="55" t="s">
        <v>337</v>
      </c>
      <c r="J193" s="54"/>
    </row>
  </sheetData>
  <autoFilter ref="A4:J193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C4E4"/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56"/>
  </cols>
  <sheetData>
    <row r="1" customFormat="false" ht="24" hidden="false" customHeight="true" outlineLevel="0" collapsed="false">
      <c r="A1" s="56" t="s">
        <v>338</v>
      </c>
      <c r="B1" s="56"/>
      <c r="C1" s="56"/>
      <c r="D1" s="56"/>
      <c r="E1" s="56"/>
      <c r="F1" s="56"/>
      <c r="G1" s="56"/>
    </row>
    <row r="2" customFormat="false" ht="19.5" hidden="false" customHeight="true" outlineLevel="0" collapsed="false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</row>
    <row r="3" customFormat="false" ht="15" hidden="false" customHeight="false" outlineLevel="0" collapsed="false">
      <c r="A3" s="10"/>
      <c r="B3" s="10"/>
      <c r="C3" s="12" t="str">
        <f aca="false">IF(AND(ISNUMBER(A3),ISNUMBER(B3)),ROUND((B3-A3)*1440,0),"")</f>
        <v/>
      </c>
      <c r="D3" s="13" t="s">
        <v>4</v>
      </c>
      <c r="E3" s="14" t="s">
        <v>20</v>
      </c>
      <c r="F3" s="14" t="s">
        <v>21</v>
      </c>
      <c r="G3" s="37"/>
    </row>
    <row r="4" customFormat="false" ht="29.85" hidden="false" customHeight="false" outlineLevel="0" collapsed="false">
      <c r="A4" s="17" t="s">
        <v>22</v>
      </c>
      <c r="B4" s="18" t="n">
        <v>0.256944444444444</v>
      </c>
      <c r="C4" s="19" t="str">
        <f aca="false">IF(AND(ISNUMBER(A4),ISNUMBER(B4)),ROUND((B4-A4)*1440,0),"")</f>
        <v/>
      </c>
      <c r="D4" s="20" t="s">
        <v>2</v>
      </c>
      <c r="E4" s="21" t="s">
        <v>23</v>
      </c>
      <c r="F4" s="28"/>
      <c r="G4" s="21" t="s">
        <v>24</v>
      </c>
    </row>
    <row r="5" customFormat="false" ht="15" hidden="false" customHeight="false" outlineLevel="0" collapsed="false">
      <c r="A5" s="24" t="n">
        <v>0.256944444444444</v>
      </c>
      <c r="B5" s="24" t="n">
        <v>0.270833333333333</v>
      </c>
      <c r="C5" s="25" t="n">
        <f aca="false">IF(AND(ISNUMBER(A5),ISNUMBER(B5)),ROUND((B5-A5)*1440,0),"")</f>
        <v>20</v>
      </c>
      <c r="D5" s="26" t="s">
        <v>5</v>
      </c>
      <c r="E5" s="27" t="s">
        <v>25</v>
      </c>
      <c r="F5" s="29"/>
      <c r="G5" s="29"/>
    </row>
    <row r="6" customFormat="false" ht="15" hidden="false" customHeight="false" outlineLevel="0" collapsed="false">
      <c r="A6" s="24" t="n">
        <v>0.270833333333333</v>
      </c>
      <c r="B6" s="24" t="n">
        <v>0.354166666666667</v>
      </c>
      <c r="C6" s="25" t="n">
        <f aca="false">IF(AND(ISNUMBER(A6),ISNUMBER(B6)),ROUND((B6-A6)*1440,0),"")</f>
        <v>120</v>
      </c>
      <c r="D6" s="26" t="s">
        <v>5</v>
      </c>
      <c r="E6" s="27" t="s">
        <v>26</v>
      </c>
      <c r="F6" s="27" t="s">
        <v>27</v>
      </c>
      <c r="G6" s="27" t="s">
        <v>28</v>
      </c>
    </row>
    <row r="7" customFormat="false" ht="15" hidden="false" customHeight="false" outlineLevel="0" collapsed="false">
      <c r="A7" s="18" t="n">
        <v>0.354166666666667</v>
      </c>
      <c r="B7" s="18" t="n">
        <v>0.538194444444444</v>
      </c>
      <c r="C7" s="19" t="n">
        <f aca="false">IF(AND(ISNUMBER(A7),ISNUMBER(B7)),ROUND((B7-A7)*1440,0),"")</f>
        <v>265</v>
      </c>
      <c r="D7" s="20" t="s">
        <v>2</v>
      </c>
      <c r="E7" s="21" t="s">
        <v>29</v>
      </c>
      <c r="F7" s="28" t="s">
        <v>30</v>
      </c>
      <c r="G7" s="21" t="s">
        <v>31</v>
      </c>
    </row>
    <row r="8" customFormat="false" ht="15" hidden="false" customHeight="false" outlineLevel="0" collapsed="false">
      <c r="A8" s="24" t="n">
        <v>0.538194444444444</v>
      </c>
      <c r="B8" s="24" t="n">
        <v>0.600694444444444</v>
      </c>
      <c r="C8" s="25" t="n">
        <f aca="false">IF(AND(ISNUMBER(A8),ISNUMBER(B8)),ROUND((B8-A8)*1440,0),"")</f>
        <v>90</v>
      </c>
      <c r="D8" s="26" t="s">
        <v>5</v>
      </c>
      <c r="E8" s="27" t="s">
        <v>32</v>
      </c>
      <c r="F8" s="27" t="s">
        <v>33</v>
      </c>
      <c r="G8" s="27" t="s">
        <v>34</v>
      </c>
    </row>
    <row r="9" customFormat="false" ht="15" hidden="false" customHeight="false" outlineLevel="0" collapsed="false">
      <c r="A9" s="24" t="n">
        <v>0.600694444444444</v>
      </c>
      <c r="B9" s="24" t="n">
        <v>0.604166666666667</v>
      </c>
      <c r="C9" s="25" t="n">
        <f aca="false">IF(AND(ISNUMBER(A9),ISNUMBER(B9)),ROUND((B9-A9)*1440,0),"")</f>
        <v>5</v>
      </c>
      <c r="D9" s="26" t="s">
        <v>5</v>
      </c>
      <c r="E9" s="27" t="s">
        <v>35</v>
      </c>
      <c r="F9" s="27" t="s">
        <v>36</v>
      </c>
      <c r="G9" s="29"/>
    </row>
    <row r="10" customFormat="false" ht="15" hidden="false" customHeight="false" outlineLevel="0" collapsed="false">
      <c r="A10" s="18" t="n">
        <v>0.604166666666667</v>
      </c>
      <c r="B10" s="18" t="n">
        <v>0.614583333333333</v>
      </c>
      <c r="C10" s="19" t="n">
        <f aca="false">IF(AND(ISNUMBER(A10),ISNUMBER(B10)),ROUND((B10-A10)*1440,0),"")</f>
        <v>15</v>
      </c>
      <c r="D10" s="20" t="s">
        <v>2</v>
      </c>
      <c r="E10" s="21" t="s">
        <v>37</v>
      </c>
      <c r="F10" s="21" t="s">
        <v>38</v>
      </c>
      <c r="G10" s="28"/>
    </row>
    <row r="11" customFormat="false" ht="15" hidden="false" customHeight="false" outlineLevel="0" collapsed="false">
      <c r="A11" s="24" t="n">
        <v>0.614583333333333</v>
      </c>
      <c r="B11" s="24" t="n">
        <v>0.625</v>
      </c>
      <c r="C11" s="25" t="n">
        <f aca="false">IF(AND(ISNUMBER(A11),ISNUMBER(B11)),ROUND((B11-A11)*1440,0),"")</f>
        <v>15</v>
      </c>
      <c r="D11" s="26" t="s">
        <v>5</v>
      </c>
      <c r="E11" s="27" t="s">
        <v>39</v>
      </c>
      <c r="F11" s="29" t="s">
        <v>40</v>
      </c>
      <c r="G11" s="29"/>
    </row>
    <row r="12" customFormat="false" ht="15" hidden="false" customHeight="false" outlineLevel="0" collapsed="false">
      <c r="A12" s="18" t="n">
        <v>0.625</v>
      </c>
      <c r="B12" s="18" t="n">
        <v>0.65625</v>
      </c>
      <c r="C12" s="19" t="n">
        <f aca="false">IF(AND(ISNUMBER(A12),ISNUMBER(B12)),ROUND((B12-A12)*1440,0),"")</f>
        <v>45</v>
      </c>
      <c r="D12" s="20" t="s">
        <v>2</v>
      </c>
      <c r="E12" s="21" t="s">
        <v>23</v>
      </c>
      <c r="F12" s="28"/>
      <c r="G12" s="21" t="s">
        <v>41</v>
      </c>
    </row>
    <row r="13" customFormat="false" ht="15" hidden="false" customHeight="false" outlineLevel="0" collapsed="false">
      <c r="A13" s="32" t="n">
        <v>0.65625</v>
      </c>
      <c r="B13" s="32" t="n">
        <v>0.663194444444444</v>
      </c>
      <c r="C13" s="33" t="n">
        <f aca="false">IF(AND(ISNUMBER(A13),ISNUMBER(B13)),ROUND((B13-A13)*1440,0),"")</f>
        <v>10</v>
      </c>
      <c r="D13" s="31" t="s">
        <v>6</v>
      </c>
      <c r="E13" s="34" t="s">
        <v>42</v>
      </c>
      <c r="F13" s="34" t="s">
        <v>43</v>
      </c>
      <c r="G13" s="34" t="s">
        <v>44</v>
      </c>
    </row>
    <row r="14" customFormat="false" ht="15" hidden="false" customHeight="false" outlineLevel="0" collapsed="false">
      <c r="A14" s="18" t="n">
        <v>0.663194444444444</v>
      </c>
      <c r="B14" s="18" t="n">
        <v>0.680555555555556</v>
      </c>
      <c r="C14" s="19" t="n">
        <f aca="false">IF(AND(ISNUMBER(A14),ISNUMBER(B14)),ROUND((B14-A14)*1440,0),"")</f>
        <v>25</v>
      </c>
      <c r="D14" s="20" t="s">
        <v>2</v>
      </c>
      <c r="E14" s="21" t="s">
        <v>23</v>
      </c>
      <c r="F14" s="28"/>
      <c r="G14" s="21" t="s">
        <v>45</v>
      </c>
    </row>
    <row r="15" customFormat="false" ht="15" hidden="false" customHeight="false" outlineLevel="0" collapsed="false">
      <c r="A15" s="32" t="n">
        <v>0.680555555555556</v>
      </c>
      <c r="B15" s="32" t="n">
        <v>0.701388888888889</v>
      </c>
      <c r="C15" s="33" t="n">
        <f aca="false">IF(AND(ISNUMBER(A15),ISNUMBER(B15)),ROUND((B15-A15)*1440,0),"")</f>
        <v>30</v>
      </c>
      <c r="D15" s="31" t="s">
        <v>6</v>
      </c>
      <c r="E15" s="34" t="s">
        <v>46</v>
      </c>
      <c r="F15" s="34" t="s">
        <v>47</v>
      </c>
      <c r="G15" s="35"/>
    </row>
    <row r="16" customFormat="false" ht="15" hidden="false" customHeight="false" outlineLevel="0" collapsed="false">
      <c r="A16" s="18" t="n">
        <v>0.701388888888889</v>
      </c>
      <c r="B16" s="18" t="n">
        <v>0.75</v>
      </c>
      <c r="C16" s="19" t="n">
        <f aca="false">IF(AND(ISNUMBER(A16),ISNUMBER(B16)),ROUND((B16-A16)*1440,0),"")</f>
        <v>70</v>
      </c>
      <c r="D16" s="20" t="s">
        <v>2</v>
      </c>
      <c r="E16" s="21" t="s">
        <v>23</v>
      </c>
      <c r="F16" s="28"/>
      <c r="G16" s="21" t="s">
        <v>48</v>
      </c>
    </row>
    <row r="17" customFormat="false" ht="15" hidden="false" customHeight="false" outlineLevel="0" collapsed="false">
      <c r="A17" s="32" t="n">
        <v>0.75</v>
      </c>
      <c r="B17" s="32" t="n">
        <v>0.791666666666667</v>
      </c>
      <c r="C17" s="33" t="n">
        <f aca="false">IF(AND(ISNUMBER(A17),ISNUMBER(B17)),ROUND((B17-A17)*1440,0),"")</f>
        <v>60</v>
      </c>
      <c r="D17" s="31" t="s">
        <v>6</v>
      </c>
      <c r="E17" s="34" t="s">
        <v>49</v>
      </c>
      <c r="F17" s="35" t="s">
        <v>50</v>
      </c>
      <c r="G17" s="34" t="s">
        <v>51</v>
      </c>
    </row>
    <row r="18" customFormat="false" ht="15" hidden="false" customHeight="false" outlineLevel="0" collapsed="false">
      <c r="A18" s="18" t="n">
        <v>0.791666666666667</v>
      </c>
      <c r="B18" s="18" t="n">
        <v>0.798611111111111</v>
      </c>
      <c r="C18" s="19" t="n">
        <f aca="false">IF(AND(ISNUMBER(A18),ISNUMBER(B18)),ROUND((B18-A18)*1440,0),"")</f>
        <v>10</v>
      </c>
      <c r="D18" s="20" t="s">
        <v>2</v>
      </c>
      <c r="E18" s="21" t="s">
        <v>23</v>
      </c>
      <c r="F18" s="28"/>
      <c r="G18" s="21" t="s">
        <v>52</v>
      </c>
    </row>
    <row r="19" customFormat="false" ht="15" hidden="false" customHeight="false" outlineLevel="0" collapsed="false">
      <c r="A19" s="36" t="n">
        <v>0.798611111111111</v>
      </c>
      <c r="B19" s="36" t="n">
        <v>0.8125</v>
      </c>
      <c r="C19" s="12" t="n">
        <f aca="false">IF(AND(ISNUMBER(A19),ISNUMBER(B19)),ROUND((B19-A19)*1440,0),"")</f>
        <v>20</v>
      </c>
      <c r="D19" s="13" t="s">
        <v>4</v>
      </c>
      <c r="E19" s="37" t="s">
        <v>53</v>
      </c>
      <c r="F19" s="14" t="s">
        <v>54</v>
      </c>
      <c r="G19" s="37"/>
    </row>
    <row r="20" customFormat="false" ht="15" hidden="false" customHeight="false" outlineLevel="0" collapsed="false">
      <c r="A20" s="40" t="n">
        <v>0.8125</v>
      </c>
      <c r="B20" s="40" t="n">
        <v>0.854166666666667</v>
      </c>
      <c r="C20" s="41" t="n">
        <f aca="false">IF(AND(ISNUMBER(A20),ISNUMBER(B20)),ROUND((B20-A20)*1440,0),"")</f>
        <v>60</v>
      </c>
      <c r="D20" s="42" t="s">
        <v>3</v>
      </c>
      <c r="E20" s="43" t="s">
        <v>55</v>
      </c>
      <c r="F20" s="43" t="s">
        <v>56</v>
      </c>
      <c r="G20" s="43" t="s">
        <v>57</v>
      </c>
    </row>
    <row r="21" customFormat="false" ht="15" hidden="false" customHeight="false" outlineLevel="0" collapsed="false">
      <c r="A21" s="32" t="n">
        <v>0.854166666666667</v>
      </c>
      <c r="B21" s="32" t="n">
        <v>0.875</v>
      </c>
      <c r="C21" s="33" t="n">
        <f aca="false">IF(AND(ISNUMBER(A21),ISNUMBER(B21)),ROUND((B21-A21)*1440,0),"")</f>
        <v>30</v>
      </c>
      <c r="D21" s="31" t="s">
        <v>6</v>
      </c>
      <c r="E21" s="34" t="s">
        <v>58</v>
      </c>
      <c r="F21" s="34" t="s">
        <v>59</v>
      </c>
      <c r="G21" s="34" t="s">
        <v>60</v>
      </c>
    </row>
    <row r="22" customFormat="false" ht="15" hidden="false" customHeight="false" outlineLevel="0" collapsed="false">
      <c r="A22" s="10"/>
      <c r="B22" s="10"/>
      <c r="C22" s="12" t="str">
        <f aca="false">IF(AND(ISNUMBER(A22),ISNUMBER(B22)),ROUND((B22-A22)*1440,0),"")</f>
        <v/>
      </c>
      <c r="D22" s="13" t="s">
        <v>4</v>
      </c>
      <c r="E22" s="14" t="s">
        <v>61</v>
      </c>
      <c r="F22" s="14" t="s">
        <v>54</v>
      </c>
      <c r="G22" s="14" t="s">
        <v>62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C4E4"/>
    <pageSetUpPr fitToPage="tru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56"/>
  </cols>
  <sheetData>
    <row r="1" customFormat="false" ht="24" hidden="false" customHeight="true" outlineLevel="0" collapsed="false">
      <c r="A1" s="56" t="s">
        <v>339</v>
      </c>
      <c r="B1" s="56"/>
      <c r="C1" s="56"/>
      <c r="D1" s="56"/>
      <c r="E1" s="56"/>
      <c r="F1" s="56"/>
      <c r="G1" s="56"/>
    </row>
    <row r="2" customFormat="false" ht="19.5" hidden="false" customHeight="true" outlineLevel="0" collapsed="false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</row>
    <row r="3" customFormat="false" ht="15" hidden="false" customHeight="false" outlineLevel="0" collapsed="false">
      <c r="A3" s="10"/>
      <c r="B3" s="10"/>
      <c r="C3" s="12" t="str">
        <f aca="false">IF(AND(ISNUMBER(A3),ISNUMBER(B3)),ROUND((B3-A3)*1440,0),"")</f>
        <v/>
      </c>
      <c r="D3" s="13" t="s">
        <v>4</v>
      </c>
      <c r="E3" s="14" t="s">
        <v>20</v>
      </c>
      <c r="F3" s="14" t="s">
        <v>54</v>
      </c>
      <c r="G3" s="37"/>
    </row>
    <row r="4" customFormat="false" ht="15" hidden="false" customHeight="false" outlineLevel="0" collapsed="false">
      <c r="A4" s="18" t="n">
        <v>0.190972222222222</v>
      </c>
      <c r="B4" s="18" t="n">
        <v>0.197916666666667</v>
      </c>
      <c r="C4" s="19" t="n">
        <f aca="false">IF(AND(ISNUMBER(A4),ISNUMBER(B4)),ROUND((B4-A4)*1440,0),"")</f>
        <v>10</v>
      </c>
      <c r="D4" s="20" t="s">
        <v>2</v>
      </c>
      <c r="E4" s="21" t="s">
        <v>23</v>
      </c>
      <c r="F4" s="28"/>
      <c r="G4" s="21" t="s">
        <v>48</v>
      </c>
    </row>
    <row r="5" customFormat="false" ht="15" hidden="false" customHeight="false" outlineLevel="0" collapsed="false">
      <c r="A5" s="32" t="n">
        <v>0.197916666666667</v>
      </c>
      <c r="B5" s="32" t="n">
        <v>0.21875</v>
      </c>
      <c r="C5" s="33" t="n">
        <f aca="false">IF(AND(ISNUMBER(A5),ISNUMBER(B5)),ROUND((B5-A5)*1440,0),"")</f>
        <v>30</v>
      </c>
      <c r="D5" s="31" t="s">
        <v>6</v>
      </c>
      <c r="E5" s="34" t="s">
        <v>65</v>
      </c>
      <c r="F5" s="34" t="s">
        <v>66</v>
      </c>
      <c r="G5" s="34" t="s">
        <v>67</v>
      </c>
    </row>
    <row r="6" customFormat="false" ht="15" hidden="false" customHeight="false" outlineLevel="0" collapsed="false">
      <c r="A6" s="18" t="n">
        <v>0.21875</v>
      </c>
      <c r="B6" s="18" t="n">
        <v>0.225694444444444</v>
      </c>
      <c r="C6" s="19" t="n">
        <f aca="false">IF(AND(ISNUMBER(A6),ISNUMBER(B6)),ROUND((B6-A6)*1440,0),"")</f>
        <v>10</v>
      </c>
      <c r="D6" s="20" t="s">
        <v>2</v>
      </c>
      <c r="E6" s="21" t="s">
        <v>23</v>
      </c>
      <c r="F6" s="28"/>
      <c r="G6" s="21" t="s">
        <v>52</v>
      </c>
    </row>
    <row r="7" customFormat="false" ht="15" hidden="false" customHeight="false" outlineLevel="0" collapsed="false">
      <c r="A7" s="36" t="n">
        <v>0.225694444444444</v>
      </c>
      <c r="B7" s="36" t="n">
        <v>0.25</v>
      </c>
      <c r="C7" s="12" t="n">
        <f aca="false">IF(AND(ISNUMBER(A7),ISNUMBER(B7)),ROUND((B7-A7)*1440,0),"")</f>
        <v>35</v>
      </c>
      <c r="D7" s="13" t="s">
        <v>4</v>
      </c>
      <c r="E7" s="14" t="s">
        <v>68</v>
      </c>
      <c r="F7" s="14" t="s">
        <v>54</v>
      </c>
      <c r="G7" s="37"/>
    </row>
    <row r="8" customFormat="false" ht="15" hidden="false" customHeight="false" outlineLevel="0" collapsed="false">
      <c r="A8" s="40" t="n">
        <v>0.25</v>
      </c>
      <c r="B8" s="40" t="n">
        <v>0.291666666666667</v>
      </c>
      <c r="C8" s="41" t="n">
        <f aca="false">IF(AND(ISNUMBER(A8),ISNUMBER(B8)),ROUND((B8-A8)*1440,0),"")</f>
        <v>60</v>
      </c>
      <c r="D8" s="42" t="s">
        <v>3</v>
      </c>
      <c r="E8" s="43" t="s">
        <v>69</v>
      </c>
      <c r="F8" s="43" t="s">
        <v>54</v>
      </c>
      <c r="G8" s="43" t="s">
        <v>70</v>
      </c>
    </row>
    <row r="9" customFormat="false" ht="15" hidden="false" customHeight="false" outlineLevel="0" collapsed="false">
      <c r="A9" s="18" t="n">
        <v>0.291666666666667</v>
      </c>
      <c r="B9" s="18" t="n">
        <v>0.298611111111111</v>
      </c>
      <c r="C9" s="19" t="n">
        <f aca="false">IF(AND(ISNUMBER(A9),ISNUMBER(B9)),ROUND((B9-A9)*1440,0),"")</f>
        <v>10</v>
      </c>
      <c r="D9" s="20" t="s">
        <v>2</v>
      </c>
      <c r="E9" s="21" t="s">
        <v>71</v>
      </c>
      <c r="F9" s="28"/>
      <c r="G9" s="21" t="s">
        <v>72</v>
      </c>
    </row>
    <row r="10" customFormat="false" ht="15" hidden="false" customHeight="false" outlineLevel="0" collapsed="false">
      <c r="A10" s="32" t="n">
        <v>0.298611111111111</v>
      </c>
      <c r="B10" s="32" t="n">
        <v>0.333333333333333</v>
      </c>
      <c r="C10" s="33" t="n">
        <f aca="false">IF(AND(ISNUMBER(A10),ISNUMBER(B10)),ROUND((B10-A10)*1440,0),"")</f>
        <v>50</v>
      </c>
      <c r="D10" s="31" t="s">
        <v>6</v>
      </c>
      <c r="E10" s="34" t="s">
        <v>73</v>
      </c>
      <c r="F10" s="34" t="s">
        <v>74</v>
      </c>
      <c r="G10" s="35"/>
    </row>
    <row r="11" customFormat="false" ht="15" hidden="false" customHeight="false" outlineLevel="0" collapsed="false">
      <c r="A11" s="18" t="n">
        <v>0.333333333333333</v>
      </c>
      <c r="B11" s="18" t="n">
        <v>0.347222222222222</v>
      </c>
      <c r="C11" s="19" t="n">
        <f aca="false">IF(AND(ISNUMBER(A11),ISNUMBER(B11)),ROUND((B11-A11)*1440,0),"")</f>
        <v>20</v>
      </c>
      <c r="D11" s="20" t="s">
        <v>2</v>
      </c>
      <c r="E11" s="21" t="s">
        <v>23</v>
      </c>
      <c r="F11" s="28"/>
      <c r="G11" s="21" t="s">
        <v>75</v>
      </c>
    </row>
    <row r="12" customFormat="false" ht="29.85" hidden="false" customHeight="false" outlineLevel="0" collapsed="false">
      <c r="A12" s="32" t="n">
        <v>0.347222222222222</v>
      </c>
      <c r="B12" s="32" t="n">
        <v>0.388888888888889</v>
      </c>
      <c r="C12" s="33" t="n">
        <f aca="false">IF(AND(ISNUMBER(A12),ISNUMBER(B12)),ROUND((B12-A12)*1440,0),"")</f>
        <v>60</v>
      </c>
      <c r="D12" s="31" t="s">
        <v>6</v>
      </c>
      <c r="E12" s="34" t="s">
        <v>76</v>
      </c>
      <c r="F12" s="34" t="s">
        <v>77</v>
      </c>
      <c r="G12" s="34" t="s">
        <v>78</v>
      </c>
    </row>
    <row r="13" customFormat="false" ht="15" hidden="false" customHeight="false" outlineLevel="0" collapsed="false">
      <c r="A13" s="18" t="n">
        <v>0.388888888888889</v>
      </c>
      <c r="B13" s="18" t="n">
        <v>0.409722222222222</v>
      </c>
      <c r="C13" s="19" t="n">
        <f aca="false">IF(AND(ISNUMBER(A13),ISNUMBER(B13)),ROUND((B13-A13)*1440,0),"")</f>
        <v>30</v>
      </c>
      <c r="D13" s="20" t="s">
        <v>2</v>
      </c>
      <c r="E13" s="21" t="s">
        <v>23</v>
      </c>
      <c r="F13" s="28"/>
      <c r="G13" s="21" t="s">
        <v>79</v>
      </c>
    </row>
    <row r="14" customFormat="false" ht="29.85" hidden="false" customHeight="false" outlineLevel="0" collapsed="false">
      <c r="A14" s="32" t="n">
        <v>0.409722222222222</v>
      </c>
      <c r="B14" s="32" t="n">
        <v>0.451388888888889</v>
      </c>
      <c r="C14" s="33" t="n">
        <f aca="false">IF(AND(ISNUMBER(A14),ISNUMBER(B14)),ROUND((B14-A14)*1440,0),"")</f>
        <v>60</v>
      </c>
      <c r="D14" s="31" t="s">
        <v>6</v>
      </c>
      <c r="E14" s="34" t="s">
        <v>80</v>
      </c>
      <c r="F14" s="34" t="s">
        <v>81</v>
      </c>
      <c r="G14" s="34" t="s">
        <v>82</v>
      </c>
    </row>
    <row r="15" customFormat="false" ht="15" hidden="false" customHeight="false" outlineLevel="0" collapsed="false">
      <c r="A15" s="18" t="n">
        <v>0.451388888888889</v>
      </c>
      <c r="B15" s="18" t="n">
        <v>0.472222222222222</v>
      </c>
      <c r="C15" s="19" t="n">
        <f aca="false">IF(AND(ISNUMBER(A15),ISNUMBER(B15)),ROUND((B15-A15)*1440,0),"")</f>
        <v>30</v>
      </c>
      <c r="D15" s="20" t="s">
        <v>2</v>
      </c>
      <c r="E15" s="21" t="s">
        <v>23</v>
      </c>
      <c r="F15" s="28"/>
      <c r="G15" s="21" t="s">
        <v>83</v>
      </c>
    </row>
    <row r="16" customFormat="false" ht="15" hidden="false" customHeight="false" outlineLevel="0" collapsed="false">
      <c r="A16" s="40" t="n">
        <v>0.472222222222222</v>
      </c>
      <c r="B16" s="40" t="n">
        <v>0.5</v>
      </c>
      <c r="C16" s="41" t="n">
        <f aca="false">IF(AND(ISNUMBER(A16),ISNUMBER(B16)),ROUND((B16-A16)*1440,0),"")</f>
        <v>40</v>
      </c>
      <c r="D16" s="42" t="s">
        <v>3</v>
      </c>
      <c r="E16" s="43" t="s">
        <v>84</v>
      </c>
      <c r="F16" s="49" t="s">
        <v>85</v>
      </c>
      <c r="G16" s="43" t="s">
        <v>86</v>
      </c>
    </row>
    <row r="17" customFormat="false" ht="15" hidden="false" customHeight="false" outlineLevel="0" collapsed="false">
      <c r="A17" s="32" t="n">
        <v>0.5</v>
      </c>
      <c r="B17" s="32" t="n">
        <v>0.583333333333333</v>
      </c>
      <c r="C17" s="33" t="n">
        <f aca="false">IF(AND(ISNUMBER(A17),ISNUMBER(B17)),ROUND((B17-A17)*1440,0),"")</f>
        <v>120</v>
      </c>
      <c r="D17" s="31" t="s">
        <v>6</v>
      </c>
      <c r="E17" s="34" t="s">
        <v>87</v>
      </c>
      <c r="F17" s="34" t="s">
        <v>88</v>
      </c>
      <c r="G17" s="34" t="s">
        <v>89</v>
      </c>
    </row>
    <row r="18" customFormat="false" ht="15" hidden="false" customHeight="false" outlineLevel="0" collapsed="false">
      <c r="A18" s="18" t="n">
        <v>0.583333333333333</v>
      </c>
      <c r="B18" s="18" t="n">
        <v>0.625</v>
      </c>
      <c r="C18" s="19" t="n">
        <f aca="false">IF(AND(ISNUMBER(A18),ISNUMBER(B18)),ROUND((B18-A18)*1440,0),"")</f>
        <v>60</v>
      </c>
      <c r="D18" s="20" t="s">
        <v>2</v>
      </c>
      <c r="E18" s="21" t="s">
        <v>23</v>
      </c>
      <c r="F18" s="28"/>
      <c r="G18" s="21" t="s">
        <v>90</v>
      </c>
    </row>
    <row r="19" customFormat="false" ht="15" hidden="false" customHeight="false" outlineLevel="0" collapsed="false">
      <c r="A19" s="32" t="n">
        <v>0.625</v>
      </c>
      <c r="B19" s="32" t="n">
        <v>0.770833333333333</v>
      </c>
      <c r="C19" s="33" t="n">
        <f aca="false">IF(AND(ISNUMBER(A19),ISNUMBER(B19)),ROUND((B19-A19)*1440,0),"")</f>
        <v>210</v>
      </c>
      <c r="D19" s="31" t="s">
        <v>6</v>
      </c>
      <c r="E19" s="34" t="s">
        <v>91</v>
      </c>
      <c r="F19" s="34" t="s">
        <v>92</v>
      </c>
      <c r="G19" s="34" t="s">
        <v>93</v>
      </c>
    </row>
    <row r="20" customFormat="false" ht="15" hidden="false" customHeight="false" outlineLevel="0" collapsed="false">
      <c r="A20" s="18" t="n">
        <v>0.770833333333333</v>
      </c>
      <c r="B20" s="18" t="n">
        <v>0.805555555555556</v>
      </c>
      <c r="C20" s="19" t="n">
        <f aca="false">IF(AND(ISNUMBER(A20),ISNUMBER(B20)),ROUND((B20-A20)*1440,0),"")</f>
        <v>50</v>
      </c>
      <c r="D20" s="20" t="s">
        <v>2</v>
      </c>
      <c r="E20" s="21" t="s">
        <v>23</v>
      </c>
      <c r="F20" s="28"/>
      <c r="G20" s="21" t="s">
        <v>94</v>
      </c>
    </row>
    <row r="21" customFormat="false" ht="15" hidden="false" customHeight="false" outlineLevel="0" collapsed="false">
      <c r="A21" s="36" t="n">
        <v>0.805555555555556</v>
      </c>
      <c r="B21" s="36" t="n">
        <v>0.819444444444444</v>
      </c>
      <c r="C21" s="12" t="n">
        <f aca="false">IF(AND(ISNUMBER(A21),ISNUMBER(B21)),ROUND((B21-A21)*1440,0),"")</f>
        <v>20</v>
      </c>
      <c r="D21" s="13" t="s">
        <v>4</v>
      </c>
      <c r="E21" s="37" t="s">
        <v>53</v>
      </c>
      <c r="F21" s="14" t="s">
        <v>95</v>
      </c>
      <c r="G21" s="37" t="s">
        <v>96</v>
      </c>
    </row>
    <row r="22" customFormat="false" ht="15" hidden="false" customHeight="false" outlineLevel="0" collapsed="false">
      <c r="A22" s="18" t="n">
        <v>0.819444444444444</v>
      </c>
      <c r="B22" s="18" t="n">
        <v>0.822916666666667</v>
      </c>
      <c r="C22" s="19" t="n">
        <f aca="false">IF(AND(ISNUMBER(A22),ISNUMBER(B22)),ROUND((B22-A22)*1440,0),"")</f>
        <v>5</v>
      </c>
      <c r="D22" s="20" t="s">
        <v>2</v>
      </c>
      <c r="E22" s="21" t="s">
        <v>23</v>
      </c>
      <c r="F22" s="28"/>
      <c r="G22" s="21" t="s">
        <v>97</v>
      </c>
    </row>
    <row r="23" customFormat="false" ht="15" hidden="false" customHeight="false" outlineLevel="0" collapsed="false">
      <c r="A23" s="40" t="n">
        <v>0.822916666666667</v>
      </c>
      <c r="B23" s="40" t="n">
        <v>0.864583333333333</v>
      </c>
      <c r="C23" s="41" t="n">
        <f aca="false">IF(AND(ISNUMBER(A23),ISNUMBER(B23)),ROUND((B23-A23)*1440,0),"")</f>
        <v>60</v>
      </c>
      <c r="D23" s="42" t="s">
        <v>3</v>
      </c>
      <c r="E23" s="43" t="s">
        <v>98</v>
      </c>
      <c r="F23" s="49" t="s">
        <v>99</v>
      </c>
      <c r="G23" s="43" t="s">
        <v>100</v>
      </c>
    </row>
    <row r="24" customFormat="false" ht="15" hidden="false" customHeight="false" outlineLevel="0" collapsed="false">
      <c r="A24" s="32" t="n">
        <v>0.864583333333333</v>
      </c>
      <c r="B24" s="32" t="n">
        <v>0.875</v>
      </c>
      <c r="C24" s="33" t="n">
        <f aca="false">IF(AND(ISNUMBER(A24),ISNUMBER(B24)),ROUND((B24-A24)*1440,0),"")</f>
        <v>15</v>
      </c>
      <c r="D24" s="31" t="s">
        <v>6</v>
      </c>
      <c r="E24" s="34" t="s">
        <v>101</v>
      </c>
      <c r="F24" s="34" t="s">
        <v>102</v>
      </c>
      <c r="G24" s="35"/>
    </row>
    <row r="25" customFormat="false" ht="15" hidden="false" customHeight="false" outlineLevel="0" collapsed="false">
      <c r="A25" s="18" t="n">
        <v>0.875</v>
      </c>
      <c r="B25" s="18" t="n">
        <v>0.878472222222222</v>
      </c>
      <c r="C25" s="19" t="n">
        <f aca="false">IF(AND(ISNUMBER(A25),ISNUMBER(B25)),ROUND((B25-A25)*1440,0),"")</f>
        <v>5</v>
      </c>
      <c r="D25" s="20" t="s">
        <v>2</v>
      </c>
      <c r="E25" s="21" t="s">
        <v>23</v>
      </c>
      <c r="F25" s="28"/>
      <c r="G25" s="21" t="s">
        <v>94</v>
      </c>
    </row>
    <row r="26" customFormat="false" ht="15" hidden="false" customHeight="false" outlineLevel="0" collapsed="false">
      <c r="A26" s="10"/>
      <c r="B26" s="10"/>
      <c r="C26" s="12" t="str">
        <f aca="false">IF(AND(ISNUMBER(A26),ISNUMBER(B26)),ROUND((B26-A26)*1440,0),"")</f>
        <v/>
      </c>
      <c r="D26" s="13" t="s">
        <v>4</v>
      </c>
      <c r="E26" s="14" t="s">
        <v>61</v>
      </c>
      <c r="F26" s="14" t="s">
        <v>95</v>
      </c>
      <c r="G26" s="37" t="s">
        <v>103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C4E4"/>
    <pageSetUpPr fitToPage="tru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56"/>
  </cols>
  <sheetData>
    <row r="1" customFormat="false" ht="24" hidden="false" customHeight="true" outlineLevel="0" collapsed="false">
      <c r="A1" s="56" t="s">
        <v>340</v>
      </c>
      <c r="B1" s="56"/>
      <c r="C1" s="56"/>
      <c r="D1" s="56"/>
      <c r="E1" s="56"/>
      <c r="F1" s="56"/>
      <c r="G1" s="56"/>
    </row>
    <row r="2" customFormat="false" ht="19.5" hidden="false" customHeight="true" outlineLevel="0" collapsed="false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</row>
    <row r="3" customFormat="false" ht="15" hidden="false" customHeight="false" outlineLevel="0" collapsed="false">
      <c r="A3" s="10"/>
      <c r="B3" s="10"/>
      <c r="C3" s="12" t="str">
        <f aca="false">IF(AND(ISNUMBER(A3),ISNUMBER(B3)),ROUND((B3-A3)*1440,0),"")</f>
        <v/>
      </c>
      <c r="D3" s="13" t="s">
        <v>4</v>
      </c>
      <c r="E3" s="14" t="s">
        <v>106</v>
      </c>
      <c r="F3" s="14" t="s">
        <v>95</v>
      </c>
      <c r="G3" s="37"/>
    </row>
    <row r="4" customFormat="false" ht="15" hidden="false" customHeight="false" outlineLevel="0" collapsed="false">
      <c r="A4" s="18" t="n">
        <v>0.350694444444444</v>
      </c>
      <c r="B4" s="18" t="n">
        <v>0.351388888888889</v>
      </c>
      <c r="C4" s="19" t="n">
        <f aca="false">IF(AND(ISNUMBER(A4),ISNUMBER(B4)),ROUND((B4-A4)*1440,0),"")</f>
        <v>1</v>
      </c>
      <c r="D4" s="20" t="s">
        <v>2</v>
      </c>
      <c r="E4" s="21" t="s">
        <v>23</v>
      </c>
      <c r="F4" s="28"/>
      <c r="G4" s="28"/>
    </row>
    <row r="5" customFormat="false" ht="15" hidden="false" customHeight="false" outlineLevel="0" collapsed="false">
      <c r="A5" s="40" t="n">
        <v>0.351388888888889</v>
      </c>
      <c r="B5" s="40" t="n">
        <v>0.357638888888889</v>
      </c>
      <c r="C5" s="41" t="n">
        <f aca="false">IF(AND(ISNUMBER(A5),ISNUMBER(B5)),ROUND((B5-A5)*1440,0),"")</f>
        <v>9</v>
      </c>
      <c r="D5" s="42" t="s">
        <v>3</v>
      </c>
      <c r="E5" s="43" t="s">
        <v>107</v>
      </c>
      <c r="F5" s="43" t="s">
        <v>108</v>
      </c>
      <c r="G5" s="43" t="s">
        <v>109</v>
      </c>
    </row>
    <row r="6" customFormat="false" ht="15" hidden="false" customHeight="false" outlineLevel="0" collapsed="false">
      <c r="A6" s="18" t="n">
        <v>0.357638888888889</v>
      </c>
      <c r="B6" s="18" t="n">
        <v>0.375</v>
      </c>
      <c r="C6" s="19" t="n">
        <f aca="false">IF(AND(ISNUMBER(A6),ISNUMBER(B6)),ROUND((B6-A6)*1440,0),"")</f>
        <v>25</v>
      </c>
      <c r="D6" s="20" t="s">
        <v>2</v>
      </c>
      <c r="E6" s="21" t="s">
        <v>23</v>
      </c>
      <c r="F6" s="28"/>
      <c r="G6" s="21" t="s">
        <v>110</v>
      </c>
    </row>
    <row r="7" customFormat="false" ht="15" hidden="false" customHeight="false" outlineLevel="0" collapsed="false">
      <c r="A7" s="24" t="n">
        <v>0.375</v>
      </c>
      <c r="B7" s="24" t="n">
        <v>0.395833333333333</v>
      </c>
      <c r="C7" s="25" t="n">
        <f aca="false">IF(AND(ISNUMBER(A7),ISNUMBER(B7)),ROUND((B7-A7)*1440,0),"")</f>
        <v>30</v>
      </c>
      <c r="D7" s="26" t="s">
        <v>5</v>
      </c>
      <c r="E7" s="27" t="s">
        <v>111</v>
      </c>
      <c r="F7" s="27" t="s">
        <v>112</v>
      </c>
      <c r="G7" s="27" t="s">
        <v>113</v>
      </c>
    </row>
    <row r="8" customFormat="false" ht="29.85" hidden="false" customHeight="false" outlineLevel="0" collapsed="false">
      <c r="A8" s="32" t="n">
        <v>0.395833333333333</v>
      </c>
      <c r="B8" s="32" t="n">
        <v>0.4375</v>
      </c>
      <c r="C8" s="33" t="n">
        <f aca="false">IF(AND(ISNUMBER(A8),ISNUMBER(B8)),ROUND((B8-A8)*1440,0),"")</f>
        <v>60</v>
      </c>
      <c r="D8" s="31" t="s">
        <v>6</v>
      </c>
      <c r="E8" s="34" t="s">
        <v>114</v>
      </c>
      <c r="F8" s="34" t="s">
        <v>112</v>
      </c>
      <c r="G8" s="34" t="s">
        <v>115</v>
      </c>
    </row>
    <row r="9" customFormat="false" ht="15" hidden="false" customHeight="false" outlineLevel="0" collapsed="false">
      <c r="A9" s="32" t="n">
        <v>0.4375</v>
      </c>
      <c r="B9" s="32" t="n">
        <v>0.479166666666667</v>
      </c>
      <c r="C9" s="33" t="n">
        <f aca="false">IF(AND(ISNUMBER(A9),ISNUMBER(B9)),ROUND((B9-A9)*1440,0),"")</f>
        <v>60</v>
      </c>
      <c r="D9" s="31" t="s">
        <v>6</v>
      </c>
      <c r="E9" s="34" t="s">
        <v>116</v>
      </c>
      <c r="F9" s="34" t="s">
        <v>112</v>
      </c>
      <c r="G9" s="35"/>
    </row>
    <row r="10" customFormat="false" ht="15" hidden="false" customHeight="false" outlineLevel="0" collapsed="false">
      <c r="A10" s="32" t="n">
        <v>0.479166666666667</v>
      </c>
      <c r="B10" s="32" t="n">
        <v>0.5</v>
      </c>
      <c r="C10" s="33" t="n">
        <f aca="false">IF(AND(ISNUMBER(A10),ISNUMBER(B10)),ROUND((B10-A10)*1440,0),"")</f>
        <v>30</v>
      </c>
      <c r="D10" s="31" t="s">
        <v>6</v>
      </c>
      <c r="E10" s="34" t="s">
        <v>117</v>
      </c>
      <c r="F10" s="34" t="s">
        <v>112</v>
      </c>
      <c r="G10" s="34" t="s">
        <v>118</v>
      </c>
    </row>
    <row r="11" customFormat="false" ht="15" hidden="false" customHeight="false" outlineLevel="0" collapsed="false">
      <c r="A11" s="32" t="n">
        <v>0.5</v>
      </c>
      <c r="B11" s="32" t="n">
        <v>0.520833333333333</v>
      </c>
      <c r="C11" s="33" t="n">
        <f aca="false">IF(AND(ISNUMBER(A11),ISNUMBER(B11)),ROUND((B11-A11)*1440,0),"")</f>
        <v>30</v>
      </c>
      <c r="D11" s="31" t="s">
        <v>6</v>
      </c>
      <c r="E11" s="34" t="s">
        <v>119</v>
      </c>
      <c r="F11" s="34" t="s">
        <v>112</v>
      </c>
      <c r="G11" s="34" t="s">
        <v>118</v>
      </c>
    </row>
    <row r="12" customFormat="false" ht="15" hidden="false" customHeight="false" outlineLevel="0" collapsed="false">
      <c r="A12" s="24" t="n">
        <v>0.520833333333333</v>
      </c>
      <c r="B12" s="24" t="n">
        <v>0.541666666666667</v>
      </c>
      <c r="C12" s="25" t="n">
        <f aca="false">IF(AND(ISNUMBER(A12),ISNUMBER(B12)),ROUND((B12-A12)*1440,0),"")</f>
        <v>30</v>
      </c>
      <c r="D12" s="26" t="s">
        <v>5</v>
      </c>
      <c r="E12" s="27" t="s">
        <v>120</v>
      </c>
      <c r="F12" s="27" t="s">
        <v>112</v>
      </c>
      <c r="G12" s="29"/>
    </row>
    <row r="13" customFormat="false" ht="15" hidden="false" customHeight="false" outlineLevel="0" collapsed="false">
      <c r="A13" s="40" t="n">
        <v>0.541666666666667</v>
      </c>
      <c r="B13" s="40" t="n">
        <v>0.583333333333333</v>
      </c>
      <c r="C13" s="41" t="n">
        <f aca="false">IF(AND(ISNUMBER(A13),ISNUMBER(B13)),ROUND((B13-A13)*1440,0),"")</f>
        <v>60</v>
      </c>
      <c r="D13" s="42" t="s">
        <v>3</v>
      </c>
      <c r="E13" s="43" t="s">
        <v>121</v>
      </c>
      <c r="F13" s="43" t="s">
        <v>112</v>
      </c>
      <c r="G13" s="43" t="s">
        <v>122</v>
      </c>
    </row>
    <row r="14" customFormat="false" ht="15" hidden="false" customHeight="false" outlineLevel="0" collapsed="false">
      <c r="A14" s="18" t="n">
        <v>0.583333333333333</v>
      </c>
      <c r="B14" s="18" t="n">
        <v>0.614583333333333</v>
      </c>
      <c r="C14" s="19" t="n">
        <f aca="false">IF(AND(ISNUMBER(A14),ISNUMBER(B14)),ROUND((B14-A14)*1440,0),"")</f>
        <v>45</v>
      </c>
      <c r="D14" s="20" t="s">
        <v>2</v>
      </c>
      <c r="E14" s="21" t="s">
        <v>23</v>
      </c>
      <c r="F14" s="28"/>
      <c r="G14" s="21" t="s">
        <v>123</v>
      </c>
    </row>
    <row r="15" customFormat="false" ht="15" hidden="false" customHeight="false" outlineLevel="0" collapsed="false">
      <c r="A15" s="18" t="n">
        <v>0.614583333333333</v>
      </c>
      <c r="B15" s="18" t="n">
        <v>0.621527777777778</v>
      </c>
      <c r="C15" s="19" t="n">
        <f aca="false">IF(AND(ISNUMBER(A15),ISNUMBER(B15)),ROUND((B15-A15)*1440,0),"")</f>
        <v>10</v>
      </c>
      <c r="D15" s="20" t="s">
        <v>2</v>
      </c>
      <c r="E15" s="21" t="s">
        <v>124</v>
      </c>
      <c r="F15" s="28"/>
      <c r="G15" s="21" t="s">
        <v>125</v>
      </c>
    </row>
    <row r="16" customFormat="false" ht="15" hidden="false" customHeight="false" outlineLevel="0" collapsed="false">
      <c r="A16" s="32" t="n">
        <v>0.621527777777778</v>
      </c>
      <c r="B16" s="32" t="n">
        <v>0.649305555555556</v>
      </c>
      <c r="C16" s="33" t="n">
        <f aca="false">IF(AND(ISNUMBER(A16),ISNUMBER(B16)),ROUND((B16-A16)*1440,0),"")</f>
        <v>40</v>
      </c>
      <c r="D16" s="31" t="s">
        <v>6</v>
      </c>
      <c r="E16" s="34" t="s">
        <v>126</v>
      </c>
      <c r="F16" s="34" t="s">
        <v>127</v>
      </c>
      <c r="G16" s="35" t="s">
        <v>128</v>
      </c>
    </row>
    <row r="17" customFormat="false" ht="15" hidden="false" customHeight="false" outlineLevel="0" collapsed="false">
      <c r="A17" s="32" t="n">
        <v>0.649305555555556</v>
      </c>
      <c r="B17" s="32" t="n">
        <v>0.690972222222222</v>
      </c>
      <c r="C17" s="33" t="n">
        <f aca="false">IF(AND(ISNUMBER(A17),ISNUMBER(B17)),ROUND((B17-A17)*1440,0),"")</f>
        <v>60</v>
      </c>
      <c r="D17" s="31" t="s">
        <v>6</v>
      </c>
      <c r="E17" s="34" t="s">
        <v>129</v>
      </c>
      <c r="F17" s="34" t="s">
        <v>130</v>
      </c>
      <c r="G17" s="35" t="s">
        <v>131</v>
      </c>
    </row>
    <row r="18" customFormat="false" ht="15" hidden="false" customHeight="false" outlineLevel="0" collapsed="false">
      <c r="A18" s="18" t="n">
        <v>0.690972222222222</v>
      </c>
      <c r="B18" s="18" t="n">
        <v>0.701388888888889</v>
      </c>
      <c r="C18" s="19" t="n">
        <f aca="false">IF(AND(ISNUMBER(A18),ISNUMBER(B18)),ROUND((B18-A18)*1440,0),"")</f>
        <v>15</v>
      </c>
      <c r="D18" s="20" t="s">
        <v>2</v>
      </c>
      <c r="E18" s="21" t="s">
        <v>132</v>
      </c>
      <c r="F18" s="28"/>
      <c r="G18" s="28"/>
    </row>
    <row r="19" customFormat="false" ht="15" hidden="false" customHeight="false" outlineLevel="0" collapsed="false">
      <c r="A19" s="32" t="n">
        <v>0.701388888888889</v>
      </c>
      <c r="B19" s="32" t="n">
        <v>0.732638888888889</v>
      </c>
      <c r="C19" s="33" t="n">
        <f aca="false">IF(AND(ISNUMBER(A19),ISNUMBER(B19)),ROUND((B19-A19)*1440,0),"")</f>
        <v>45</v>
      </c>
      <c r="D19" s="31" t="s">
        <v>6</v>
      </c>
      <c r="E19" s="34" t="s">
        <v>133</v>
      </c>
      <c r="F19" s="34" t="s">
        <v>134</v>
      </c>
      <c r="G19" s="34" t="s">
        <v>135</v>
      </c>
    </row>
    <row r="20" customFormat="false" ht="15" hidden="false" customHeight="false" outlineLevel="0" collapsed="false">
      <c r="A20" s="18" t="n">
        <v>0.732638888888889</v>
      </c>
      <c r="B20" s="18" t="n">
        <v>0.743055555555556</v>
      </c>
      <c r="C20" s="19" t="n">
        <f aca="false">IF(AND(ISNUMBER(A20),ISNUMBER(B20)),ROUND((B20-A20)*1440,0),"")</f>
        <v>15</v>
      </c>
      <c r="D20" s="20" t="s">
        <v>2</v>
      </c>
      <c r="E20" s="21" t="s">
        <v>136</v>
      </c>
      <c r="F20" s="28"/>
      <c r="G20" s="28"/>
    </row>
    <row r="21" customFormat="false" ht="15" hidden="false" customHeight="false" outlineLevel="0" collapsed="false">
      <c r="A21" s="18" t="n">
        <v>0.743055555555556</v>
      </c>
      <c r="B21" s="18" t="n">
        <v>0.75</v>
      </c>
      <c r="C21" s="19" t="n">
        <f aca="false">IF(AND(ISNUMBER(A21),ISNUMBER(B21)),ROUND((B21-A21)*1440,0),"")</f>
        <v>10</v>
      </c>
      <c r="D21" s="20" t="s">
        <v>2</v>
      </c>
      <c r="E21" s="21" t="s">
        <v>23</v>
      </c>
      <c r="F21" s="28"/>
      <c r="G21" s="21" t="s">
        <v>137</v>
      </c>
    </row>
    <row r="22" customFormat="false" ht="15" hidden="false" customHeight="false" outlineLevel="0" collapsed="false">
      <c r="A22" s="32" t="n">
        <v>0.75</v>
      </c>
      <c r="B22" s="32" t="n">
        <v>0.770833333333333</v>
      </c>
      <c r="C22" s="33" t="n">
        <f aca="false">IF(AND(ISNUMBER(A22),ISNUMBER(B22)),ROUND((B22-A22)*1440,0),"")</f>
        <v>30</v>
      </c>
      <c r="D22" s="31" t="s">
        <v>6</v>
      </c>
      <c r="E22" s="34" t="s">
        <v>138</v>
      </c>
      <c r="F22" s="34" t="s">
        <v>139</v>
      </c>
      <c r="G22" s="35"/>
    </row>
    <row r="23" customFormat="false" ht="15" hidden="false" customHeight="false" outlineLevel="0" collapsed="false">
      <c r="A23" s="40" t="n">
        <v>0.770833333333333</v>
      </c>
      <c r="B23" s="40" t="n">
        <v>0.833333333333333</v>
      </c>
      <c r="C23" s="41" t="n">
        <f aca="false">IF(AND(ISNUMBER(A23),ISNUMBER(B23)),ROUND((B23-A23)*1440,0),"")</f>
        <v>90</v>
      </c>
      <c r="D23" s="42" t="s">
        <v>3</v>
      </c>
      <c r="E23" s="43" t="s">
        <v>140</v>
      </c>
      <c r="F23" s="43" t="s">
        <v>141</v>
      </c>
      <c r="G23" s="43" t="s">
        <v>142</v>
      </c>
    </row>
    <row r="24" customFormat="false" ht="15" hidden="false" customHeight="false" outlineLevel="0" collapsed="false">
      <c r="A24" s="18" t="n">
        <v>0.833333333333333</v>
      </c>
      <c r="B24" s="18" t="n">
        <v>0.854166666666667</v>
      </c>
      <c r="C24" s="19" t="n">
        <f aca="false">IF(AND(ISNUMBER(A24),ISNUMBER(B24)),ROUND((B24-A24)*1440,0),"")</f>
        <v>30</v>
      </c>
      <c r="D24" s="20" t="s">
        <v>2</v>
      </c>
      <c r="E24" s="21" t="s">
        <v>23</v>
      </c>
      <c r="F24" s="28"/>
      <c r="G24" s="21" t="s">
        <v>94</v>
      </c>
    </row>
    <row r="25" customFormat="false" ht="15" hidden="false" customHeight="false" outlineLevel="0" collapsed="false">
      <c r="A25" s="10"/>
      <c r="B25" s="10"/>
      <c r="C25" s="12" t="str">
        <f aca="false">IF(AND(ISNUMBER(A25),ISNUMBER(B25)),ROUND((B25-A25)*1440,0),"")</f>
        <v/>
      </c>
      <c r="D25" s="13" t="s">
        <v>4</v>
      </c>
      <c r="E25" s="14" t="s">
        <v>61</v>
      </c>
      <c r="F25" s="14" t="s">
        <v>95</v>
      </c>
      <c r="G25" s="14" t="s">
        <v>143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C4E4"/>
    <pageSetUpPr fitToPage="tru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56"/>
  </cols>
  <sheetData>
    <row r="1" customFormat="false" ht="24" hidden="false" customHeight="true" outlineLevel="0" collapsed="false">
      <c r="A1" s="56" t="s">
        <v>341</v>
      </c>
      <c r="B1" s="56"/>
      <c r="C1" s="56"/>
      <c r="D1" s="56"/>
      <c r="E1" s="56"/>
      <c r="F1" s="56"/>
      <c r="G1" s="56"/>
    </row>
    <row r="2" customFormat="false" ht="19.5" hidden="false" customHeight="true" outlineLevel="0" collapsed="false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</row>
    <row r="3" customFormat="false" ht="15" hidden="false" customHeight="false" outlineLevel="0" collapsed="false">
      <c r="A3" s="10"/>
      <c r="B3" s="10"/>
      <c r="C3" s="12" t="str">
        <f aca="false">IF(AND(ISNUMBER(A3),ISNUMBER(B3)),ROUND((B3-A3)*1440,0),"")</f>
        <v/>
      </c>
      <c r="D3" s="13" t="s">
        <v>4</v>
      </c>
      <c r="E3" s="14" t="s">
        <v>20</v>
      </c>
      <c r="F3" s="14" t="s">
        <v>95</v>
      </c>
      <c r="G3" s="37"/>
    </row>
    <row r="4" customFormat="false" ht="15" hidden="false" customHeight="false" outlineLevel="0" collapsed="false">
      <c r="A4" s="18" t="n">
        <v>0.194444444444444</v>
      </c>
      <c r="B4" s="18" t="n">
        <v>0.197916666666667</v>
      </c>
      <c r="C4" s="19" t="n">
        <f aca="false">IF(AND(ISNUMBER(A4),ISNUMBER(B4)),ROUND((B4-A4)*1440,0),"")</f>
        <v>5</v>
      </c>
      <c r="D4" s="20" t="s">
        <v>2</v>
      </c>
      <c r="E4" s="21" t="s">
        <v>23</v>
      </c>
      <c r="F4" s="28"/>
      <c r="G4" s="21" t="s">
        <v>146</v>
      </c>
    </row>
    <row r="5" customFormat="false" ht="15" hidden="false" customHeight="false" outlineLevel="0" collapsed="false">
      <c r="A5" s="32" t="n">
        <v>0.197916666666667</v>
      </c>
      <c r="B5" s="32" t="n">
        <v>0.21875</v>
      </c>
      <c r="C5" s="33" t="n">
        <f aca="false">IF(AND(ISNUMBER(A5),ISNUMBER(B5)),ROUND((B5-A5)*1440,0),"")</f>
        <v>30</v>
      </c>
      <c r="D5" s="31" t="s">
        <v>6</v>
      </c>
      <c r="E5" s="34" t="s">
        <v>147</v>
      </c>
      <c r="F5" s="34" t="s">
        <v>148</v>
      </c>
      <c r="G5" s="35"/>
    </row>
    <row r="6" customFormat="false" ht="15" hidden="false" customHeight="false" outlineLevel="0" collapsed="false">
      <c r="A6" s="18" t="n">
        <v>0.21875</v>
      </c>
      <c r="B6" s="18" t="n">
        <v>0.222222222222222</v>
      </c>
      <c r="C6" s="19" t="n">
        <f aca="false">IF(AND(ISNUMBER(A6),ISNUMBER(B6)),ROUND((B6-A6)*1440,0),"")</f>
        <v>5</v>
      </c>
      <c r="D6" s="20" t="s">
        <v>2</v>
      </c>
      <c r="E6" s="21" t="s">
        <v>23</v>
      </c>
      <c r="F6" s="28"/>
      <c r="G6" s="21" t="s">
        <v>94</v>
      </c>
    </row>
    <row r="7" customFormat="false" ht="15" hidden="false" customHeight="false" outlineLevel="0" collapsed="false">
      <c r="A7" s="36" t="n">
        <v>0.222222222222222</v>
      </c>
      <c r="B7" s="36" t="n">
        <v>0.347222222222222</v>
      </c>
      <c r="C7" s="12" t="n">
        <f aca="false">IF(AND(ISNUMBER(A7),ISNUMBER(B7)),ROUND((B7-A7)*1440,0),"")</f>
        <v>180</v>
      </c>
      <c r="D7" s="13" t="s">
        <v>4</v>
      </c>
      <c r="E7" s="14" t="s">
        <v>68</v>
      </c>
      <c r="F7" s="14" t="s">
        <v>95</v>
      </c>
      <c r="G7" s="37"/>
    </row>
    <row r="8" customFormat="false" ht="15" hidden="false" customHeight="false" outlineLevel="0" collapsed="false">
      <c r="A8" s="18" t="n">
        <v>0.347222222222222</v>
      </c>
      <c r="B8" s="18" t="n">
        <v>0.350694444444444</v>
      </c>
      <c r="C8" s="19" t="n">
        <f aca="false">IF(AND(ISNUMBER(A8),ISNUMBER(B8)),ROUND((B8-A8)*1440,0),"")</f>
        <v>5</v>
      </c>
      <c r="D8" s="20" t="s">
        <v>2</v>
      </c>
      <c r="E8" s="21" t="s">
        <v>23</v>
      </c>
      <c r="F8" s="28"/>
      <c r="G8" s="21" t="s">
        <v>149</v>
      </c>
    </row>
    <row r="9" customFormat="false" ht="15" hidden="false" customHeight="false" outlineLevel="0" collapsed="false">
      <c r="A9" s="40" t="n">
        <v>0.350694444444444</v>
      </c>
      <c r="B9" s="40" t="n">
        <v>0.385416666666667</v>
      </c>
      <c r="C9" s="41" t="n">
        <f aca="false">IF(AND(ISNUMBER(A9),ISNUMBER(B9)),ROUND((B9-A9)*1440,0),"")</f>
        <v>50</v>
      </c>
      <c r="D9" s="42" t="s">
        <v>3</v>
      </c>
      <c r="E9" s="43" t="s">
        <v>150</v>
      </c>
      <c r="F9" s="43" t="s">
        <v>151</v>
      </c>
      <c r="G9" s="49"/>
    </row>
    <row r="10" customFormat="false" ht="15" hidden="false" customHeight="false" outlineLevel="0" collapsed="false">
      <c r="A10" s="18" t="n">
        <v>0.385416666666667</v>
      </c>
      <c r="B10" s="18" t="n">
        <v>0.416666666666667</v>
      </c>
      <c r="C10" s="19" t="n">
        <f aca="false">IF(AND(ISNUMBER(A10),ISNUMBER(B10)),ROUND((B10-A10)*1440,0),"")</f>
        <v>45</v>
      </c>
      <c r="D10" s="20" t="s">
        <v>2</v>
      </c>
      <c r="E10" s="21" t="s">
        <v>23</v>
      </c>
      <c r="F10" s="28"/>
      <c r="G10" s="21" t="s">
        <v>152</v>
      </c>
    </row>
    <row r="11" customFormat="false" ht="15" hidden="false" customHeight="false" outlineLevel="0" collapsed="false">
      <c r="A11" s="32" t="n">
        <v>0.416666666666667</v>
      </c>
      <c r="B11" s="32" t="n">
        <v>0.4375</v>
      </c>
      <c r="C11" s="33" t="n">
        <f aca="false">IF(AND(ISNUMBER(A11),ISNUMBER(B11)),ROUND((B11-A11)*1440,0),"")</f>
        <v>30</v>
      </c>
      <c r="D11" s="31" t="s">
        <v>6</v>
      </c>
      <c r="E11" s="34" t="s">
        <v>153</v>
      </c>
      <c r="F11" s="34" t="s">
        <v>154</v>
      </c>
      <c r="G11" s="35"/>
    </row>
    <row r="12" customFormat="false" ht="15" hidden="false" customHeight="false" outlineLevel="0" collapsed="false">
      <c r="A12" s="32" t="n">
        <v>0.4375</v>
      </c>
      <c r="B12" s="32" t="n">
        <v>0.458333333333333</v>
      </c>
      <c r="C12" s="33" t="n">
        <f aca="false">IF(AND(ISNUMBER(A12),ISNUMBER(B12)),ROUND((B12-A12)*1440,0),"")</f>
        <v>30</v>
      </c>
      <c r="D12" s="31" t="s">
        <v>6</v>
      </c>
      <c r="E12" s="34" t="s">
        <v>155</v>
      </c>
      <c r="F12" s="34" t="s">
        <v>156</v>
      </c>
      <c r="G12" s="35"/>
    </row>
    <row r="13" customFormat="false" ht="15" hidden="false" customHeight="false" outlineLevel="0" collapsed="false">
      <c r="A13" s="40" t="n">
        <v>0.458333333333333</v>
      </c>
      <c r="B13" s="40" t="n">
        <v>0.479166666666667</v>
      </c>
      <c r="C13" s="41" t="n">
        <f aca="false">IF(AND(ISNUMBER(A13),ISNUMBER(B13)),ROUND((B13-A13)*1440,0),"")</f>
        <v>30</v>
      </c>
      <c r="D13" s="42" t="s">
        <v>3</v>
      </c>
      <c r="E13" s="43" t="s">
        <v>157</v>
      </c>
      <c r="F13" s="43" t="s">
        <v>158</v>
      </c>
      <c r="G13" s="43" t="s">
        <v>159</v>
      </c>
    </row>
    <row r="14" customFormat="false" ht="15" hidden="false" customHeight="false" outlineLevel="0" collapsed="false">
      <c r="A14" s="40" t="n">
        <v>0.479166666666667</v>
      </c>
      <c r="B14" s="40" t="n">
        <v>0.5</v>
      </c>
      <c r="C14" s="41" t="n">
        <f aca="false">IF(AND(ISNUMBER(A14),ISNUMBER(B14)),ROUND((B14-A14)*1440,0),"")</f>
        <v>30</v>
      </c>
      <c r="D14" s="42" t="s">
        <v>3</v>
      </c>
      <c r="E14" s="43" t="s">
        <v>160</v>
      </c>
      <c r="F14" s="43" t="s">
        <v>161</v>
      </c>
      <c r="G14" s="49"/>
    </row>
    <row r="15" customFormat="false" ht="15" hidden="false" customHeight="false" outlineLevel="0" collapsed="false">
      <c r="A15" s="18" t="n">
        <v>0.5</v>
      </c>
      <c r="B15" s="18" t="n">
        <v>0.503472222222222</v>
      </c>
      <c r="C15" s="19" t="n">
        <f aca="false">IF(AND(ISNUMBER(A15),ISNUMBER(B15)),ROUND((B15-A15)*1440,0),"")</f>
        <v>5</v>
      </c>
      <c r="D15" s="20" t="s">
        <v>2</v>
      </c>
      <c r="E15" s="21" t="s">
        <v>23</v>
      </c>
      <c r="F15" s="28"/>
      <c r="G15" s="21" t="s">
        <v>162</v>
      </c>
    </row>
    <row r="16" customFormat="false" ht="15" hidden="false" customHeight="false" outlineLevel="0" collapsed="false">
      <c r="A16" s="32" t="n">
        <v>0.503472222222222</v>
      </c>
      <c r="B16" s="32" t="n">
        <v>0.541666666666667</v>
      </c>
      <c r="C16" s="33" t="n">
        <f aca="false">IF(AND(ISNUMBER(A16),ISNUMBER(B16)),ROUND((B16-A16)*1440,0),"")</f>
        <v>55</v>
      </c>
      <c r="D16" s="31" t="s">
        <v>6</v>
      </c>
      <c r="E16" s="34" t="s">
        <v>163</v>
      </c>
      <c r="F16" s="34" t="s">
        <v>164</v>
      </c>
      <c r="G16" s="34" t="s">
        <v>165</v>
      </c>
    </row>
    <row r="17" customFormat="false" ht="15" hidden="false" customHeight="false" outlineLevel="0" collapsed="false">
      <c r="A17" s="18" t="n">
        <v>0.541666666666667</v>
      </c>
      <c r="B17" s="18" t="n">
        <v>0.545138888888889</v>
      </c>
      <c r="C17" s="19" t="n">
        <f aca="false">IF(AND(ISNUMBER(A17),ISNUMBER(B17)),ROUND((B17-A17)*1440,0),"")</f>
        <v>5</v>
      </c>
      <c r="D17" s="20" t="s">
        <v>2</v>
      </c>
      <c r="E17" s="21" t="s">
        <v>23</v>
      </c>
      <c r="F17" s="28"/>
      <c r="G17" s="21" t="s">
        <v>166</v>
      </c>
    </row>
    <row r="18" customFormat="false" ht="15" hidden="false" customHeight="false" outlineLevel="0" collapsed="false">
      <c r="A18" s="40" t="n">
        <v>0.545138888888889</v>
      </c>
      <c r="B18" s="40" t="n">
        <v>0.555555555555556</v>
      </c>
      <c r="C18" s="41" t="n">
        <f aca="false">IF(AND(ISNUMBER(A18),ISNUMBER(B18)),ROUND((B18-A18)*1440,0),"")</f>
        <v>15</v>
      </c>
      <c r="D18" s="42" t="s">
        <v>3</v>
      </c>
      <c r="E18" s="43" t="s">
        <v>167</v>
      </c>
      <c r="F18" s="43" t="s">
        <v>168</v>
      </c>
      <c r="G18" s="43" t="s">
        <v>169</v>
      </c>
    </row>
    <row r="19" customFormat="false" ht="15" hidden="false" customHeight="false" outlineLevel="0" collapsed="false">
      <c r="A19" s="18" t="n">
        <v>0.555555555555556</v>
      </c>
      <c r="B19" s="18" t="n">
        <v>0.559027777777778</v>
      </c>
      <c r="C19" s="19" t="n">
        <f aca="false">IF(AND(ISNUMBER(A19),ISNUMBER(B19)),ROUND((B19-A19)*1440,0),"")</f>
        <v>5</v>
      </c>
      <c r="D19" s="20" t="s">
        <v>2</v>
      </c>
      <c r="E19" s="21" t="s">
        <v>23</v>
      </c>
      <c r="F19" s="28"/>
      <c r="G19" s="21" t="s">
        <v>170</v>
      </c>
    </row>
    <row r="20" customFormat="false" ht="15" hidden="false" customHeight="false" outlineLevel="0" collapsed="false">
      <c r="A20" s="40" t="n">
        <v>0.559027777777778</v>
      </c>
      <c r="B20" s="40" t="n">
        <v>0.569444444444444</v>
      </c>
      <c r="C20" s="41" t="n">
        <f aca="false">IF(AND(ISNUMBER(A20),ISNUMBER(B20)),ROUND((B20-A20)*1440,0),"")</f>
        <v>15</v>
      </c>
      <c r="D20" s="42" t="s">
        <v>3</v>
      </c>
      <c r="E20" s="43" t="s">
        <v>171</v>
      </c>
      <c r="F20" s="43" t="s">
        <v>172</v>
      </c>
      <c r="G20" s="43" t="s">
        <v>173</v>
      </c>
    </row>
    <row r="21" customFormat="false" ht="15" hidden="false" customHeight="false" outlineLevel="0" collapsed="false">
      <c r="A21" s="18" t="n">
        <v>0.569444444444444</v>
      </c>
      <c r="B21" s="18" t="n">
        <v>0.611111111111111</v>
      </c>
      <c r="C21" s="19" t="n">
        <f aca="false">IF(AND(ISNUMBER(A21),ISNUMBER(B21)),ROUND((B21-A21)*1440,0),"")</f>
        <v>60</v>
      </c>
      <c r="D21" s="20" t="s">
        <v>2</v>
      </c>
      <c r="E21" s="21" t="s">
        <v>23</v>
      </c>
      <c r="F21" s="28"/>
      <c r="G21" s="21" t="s">
        <v>90</v>
      </c>
    </row>
    <row r="22" customFormat="false" ht="15" hidden="false" customHeight="false" outlineLevel="0" collapsed="false">
      <c r="A22" s="32" t="n">
        <v>0.611111111111111</v>
      </c>
      <c r="B22" s="32" t="n">
        <v>0.645833333333333</v>
      </c>
      <c r="C22" s="33" t="n">
        <f aca="false">IF(AND(ISNUMBER(A22),ISNUMBER(B22)),ROUND((B22-A22)*1440,0),"")</f>
        <v>50</v>
      </c>
      <c r="D22" s="31" t="s">
        <v>6</v>
      </c>
      <c r="E22" s="34" t="s">
        <v>174</v>
      </c>
      <c r="F22" s="34" t="s">
        <v>175</v>
      </c>
      <c r="G22" s="34" t="s">
        <v>176</v>
      </c>
    </row>
    <row r="23" customFormat="false" ht="15" hidden="false" customHeight="false" outlineLevel="0" collapsed="false">
      <c r="A23" s="18" t="n">
        <v>0.645833333333333</v>
      </c>
      <c r="B23" s="18" t="n">
        <v>0.697916666666667</v>
      </c>
      <c r="C23" s="19" t="n">
        <f aca="false">IF(AND(ISNUMBER(A23),ISNUMBER(B23)),ROUND((B23-A23)*1440,0),"")</f>
        <v>75</v>
      </c>
      <c r="D23" s="20" t="s">
        <v>2</v>
      </c>
      <c r="E23" s="21" t="s">
        <v>23</v>
      </c>
      <c r="F23" s="28"/>
      <c r="G23" s="21" t="s">
        <v>177</v>
      </c>
    </row>
    <row r="24" customFormat="false" ht="15" hidden="false" customHeight="false" outlineLevel="0" collapsed="false">
      <c r="A24" s="32" t="n">
        <v>0.697916666666667</v>
      </c>
      <c r="B24" s="32" t="n">
        <v>0.708333333333333</v>
      </c>
      <c r="C24" s="33" t="n">
        <f aca="false">IF(AND(ISNUMBER(A24),ISNUMBER(B24)),ROUND((B24-A24)*1440,0),"")</f>
        <v>15</v>
      </c>
      <c r="D24" s="31" t="s">
        <v>6</v>
      </c>
      <c r="E24" s="34" t="s">
        <v>178</v>
      </c>
      <c r="F24" s="34" t="s">
        <v>179</v>
      </c>
      <c r="G24" s="35"/>
    </row>
    <row r="25" customFormat="false" ht="15" hidden="false" customHeight="false" outlineLevel="0" collapsed="false">
      <c r="A25" s="18" t="n">
        <v>0.708333333333333</v>
      </c>
      <c r="B25" s="18" t="n">
        <v>0.711805555555556</v>
      </c>
      <c r="C25" s="19" t="n">
        <f aca="false">IF(AND(ISNUMBER(A25),ISNUMBER(B25)),ROUND((B25-A25)*1440,0),"")</f>
        <v>5</v>
      </c>
      <c r="D25" s="20" t="s">
        <v>2</v>
      </c>
      <c r="E25" s="21" t="s">
        <v>23</v>
      </c>
      <c r="F25" s="28"/>
      <c r="G25" s="28"/>
    </row>
    <row r="26" customFormat="false" ht="15" hidden="false" customHeight="false" outlineLevel="0" collapsed="false">
      <c r="A26" s="36" t="n">
        <v>0.711805555555556</v>
      </c>
      <c r="B26" s="36" t="n">
        <v>0.71875</v>
      </c>
      <c r="C26" s="12" t="n">
        <f aca="false">IF(AND(ISNUMBER(A26),ISNUMBER(B26)),ROUND((B26-A26)*1440,0),"")</f>
        <v>10</v>
      </c>
      <c r="D26" s="13" t="s">
        <v>4</v>
      </c>
      <c r="E26" s="37" t="s">
        <v>53</v>
      </c>
      <c r="F26" s="37" t="s">
        <v>180</v>
      </c>
      <c r="G26" s="14" t="s">
        <v>181</v>
      </c>
    </row>
    <row r="27" customFormat="false" ht="15" hidden="false" customHeight="false" outlineLevel="0" collapsed="false">
      <c r="A27" s="40" t="n">
        <v>0.71875</v>
      </c>
      <c r="B27" s="40" t="n">
        <v>0.791666666666667</v>
      </c>
      <c r="C27" s="41" t="n">
        <f aca="false">IF(AND(ISNUMBER(A27),ISNUMBER(B27)),ROUND((B27-A27)*1440,0),"")</f>
        <v>105</v>
      </c>
      <c r="D27" s="42" t="s">
        <v>3</v>
      </c>
      <c r="E27" s="43" t="s">
        <v>182</v>
      </c>
      <c r="F27" s="43" t="s">
        <v>183</v>
      </c>
      <c r="G27" s="49"/>
    </row>
    <row r="28" customFormat="false" ht="15" hidden="false" customHeight="false" outlineLevel="0" collapsed="false">
      <c r="A28" s="10"/>
      <c r="B28" s="10"/>
      <c r="C28" s="12" t="str">
        <f aca="false">IF(AND(ISNUMBER(A28),ISNUMBER(B28)),ROUND((B28-A28)*1440,0),"")</f>
        <v/>
      </c>
      <c r="D28" s="13" t="s">
        <v>4</v>
      </c>
      <c r="E28" s="14" t="s">
        <v>61</v>
      </c>
      <c r="F28" s="37" t="s">
        <v>180</v>
      </c>
      <c r="G28" s="14" t="s">
        <v>184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C4E4"/>
    <pageSetUpPr fitToPage="tru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56"/>
  </cols>
  <sheetData>
    <row r="1" customFormat="false" ht="24" hidden="false" customHeight="true" outlineLevel="0" collapsed="false">
      <c r="A1" s="56" t="s">
        <v>342</v>
      </c>
      <c r="B1" s="56"/>
      <c r="C1" s="56"/>
      <c r="D1" s="56"/>
      <c r="E1" s="56"/>
      <c r="F1" s="56"/>
      <c r="G1" s="56"/>
    </row>
    <row r="2" customFormat="false" ht="19.5" hidden="false" customHeight="true" outlineLevel="0" collapsed="false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</row>
    <row r="3" customFormat="false" ht="15" hidden="false" customHeight="false" outlineLevel="0" collapsed="false">
      <c r="A3" s="10"/>
      <c r="B3" s="10"/>
      <c r="C3" s="12" t="str">
        <f aca="false">IF(AND(ISNUMBER(A3),ISNUMBER(B3)),ROUND((B3-A3)*1440,0),"")</f>
        <v/>
      </c>
      <c r="D3" s="13" t="s">
        <v>4</v>
      </c>
      <c r="E3" s="14" t="s">
        <v>20</v>
      </c>
      <c r="F3" s="37" t="s">
        <v>180</v>
      </c>
      <c r="G3" s="37"/>
    </row>
    <row r="4" customFormat="false" ht="15" hidden="false" customHeight="false" outlineLevel="0" collapsed="false">
      <c r="A4" s="38"/>
      <c r="B4" s="38"/>
      <c r="C4" s="41" t="str">
        <f aca="false">IF(AND(ISNUMBER(A4),ISNUMBER(B4)),ROUND((B4-A4)*1440,0),"")</f>
        <v/>
      </c>
      <c r="D4" s="42" t="s">
        <v>3</v>
      </c>
      <c r="E4" s="43" t="s">
        <v>187</v>
      </c>
      <c r="F4" s="49" t="s">
        <v>180</v>
      </c>
      <c r="G4" s="49"/>
    </row>
    <row r="5" customFormat="false" ht="15" hidden="false" customHeight="false" outlineLevel="0" collapsed="false">
      <c r="A5" s="18" t="n">
        <v>0.354166666666667</v>
      </c>
      <c r="B5" s="18" t="n">
        <v>0.371527777777778</v>
      </c>
      <c r="C5" s="19" t="n">
        <f aca="false">IF(AND(ISNUMBER(A5),ISNUMBER(B5)),ROUND((B5-A5)*1440,0),"")</f>
        <v>25</v>
      </c>
      <c r="D5" s="20" t="s">
        <v>2</v>
      </c>
      <c r="E5" s="21" t="s">
        <v>23</v>
      </c>
      <c r="F5" s="28"/>
      <c r="G5" s="28"/>
    </row>
    <row r="6" customFormat="false" ht="15" hidden="false" customHeight="false" outlineLevel="0" collapsed="false">
      <c r="A6" s="32" t="n">
        <v>0.371527777777778</v>
      </c>
      <c r="B6" s="32" t="n">
        <v>0.381944444444444</v>
      </c>
      <c r="C6" s="33" t="n">
        <f aca="false">IF(AND(ISNUMBER(A6),ISNUMBER(B6)),ROUND((B6-A6)*1440,0),"")</f>
        <v>15</v>
      </c>
      <c r="D6" s="31" t="s">
        <v>6</v>
      </c>
      <c r="E6" s="34" t="s">
        <v>188</v>
      </c>
      <c r="F6" s="34" t="s">
        <v>189</v>
      </c>
      <c r="G6" s="35"/>
    </row>
    <row r="7" customFormat="false" ht="15" hidden="false" customHeight="false" outlineLevel="0" collapsed="false">
      <c r="A7" s="18" t="n">
        <v>0.381944444444444</v>
      </c>
      <c r="B7" s="18" t="n">
        <v>0.385416666666667</v>
      </c>
      <c r="C7" s="19" t="n">
        <f aca="false">IF(AND(ISNUMBER(A7),ISNUMBER(B7)),ROUND((B7-A7)*1440,0),"")</f>
        <v>5</v>
      </c>
      <c r="D7" s="20" t="s">
        <v>2</v>
      </c>
      <c r="E7" s="21" t="s">
        <v>23</v>
      </c>
      <c r="F7" s="28"/>
      <c r="G7" s="28"/>
    </row>
    <row r="8" customFormat="false" ht="15" hidden="false" customHeight="false" outlineLevel="0" collapsed="false">
      <c r="A8" s="32" t="n">
        <v>0.385416666666667</v>
      </c>
      <c r="B8" s="32" t="n">
        <v>0.392361111111111</v>
      </c>
      <c r="C8" s="33" t="n">
        <f aca="false">IF(AND(ISNUMBER(A8),ISNUMBER(B8)),ROUND((B8-A8)*1440,0),"")</f>
        <v>10</v>
      </c>
      <c r="D8" s="31" t="s">
        <v>6</v>
      </c>
      <c r="E8" s="34" t="s">
        <v>190</v>
      </c>
      <c r="F8" s="34" t="s">
        <v>191</v>
      </c>
      <c r="G8" s="34" t="s">
        <v>192</v>
      </c>
    </row>
    <row r="9" customFormat="false" ht="15" hidden="false" customHeight="false" outlineLevel="0" collapsed="false">
      <c r="A9" s="18" t="n">
        <v>0.392361111111111</v>
      </c>
      <c r="B9" s="18" t="n">
        <v>0.395833333333333</v>
      </c>
      <c r="C9" s="19" t="n">
        <f aca="false">IF(AND(ISNUMBER(A9),ISNUMBER(B9)),ROUND((B9-A9)*1440,0),"")</f>
        <v>5</v>
      </c>
      <c r="D9" s="20" t="s">
        <v>2</v>
      </c>
      <c r="E9" s="21" t="s">
        <v>23</v>
      </c>
      <c r="F9" s="28"/>
      <c r="G9" s="21" t="s">
        <v>193</v>
      </c>
    </row>
    <row r="10" customFormat="false" ht="15" hidden="false" customHeight="false" outlineLevel="0" collapsed="false">
      <c r="A10" s="32" t="n">
        <v>0.395833333333333</v>
      </c>
      <c r="B10" s="32" t="n">
        <v>0.416666666666667</v>
      </c>
      <c r="C10" s="33" t="n">
        <f aca="false">IF(AND(ISNUMBER(A10),ISNUMBER(B10)),ROUND((B10-A10)*1440,0),"")</f>
        <v>30</v>
      </c>
      <c r="D10" s="31" t="s">
        <v>6</v>
      </c>
      <c r="E10" s="34" t="s">
        <v>194</v>
      </c>
      <c r="F10" s="34" t="s">
        <v>195</v>
      </c>
      <c r="G10" s="34" t="s">
        <v>196</v>
      </c>
    </row>
    <row r="11" customFormat="false" ht="15" hidden="false" customHeight="false" outlineLevel="0" collapsed="false">
      <c r="A11" s="32" t="n">
        <v>0.416666666666667</v>
      </c>
      <c r="B11" s="32" t="n">
        <v>0.427083333333333</v>
      </c>
      <c r="C11" s="33" t="n">
        <f aca="false">IF(AND(ISNUMBER(A11),ISNUMBER(B11)),ROUND((B11-A11)*1440,0),"")</f>
        <v>15</v>
      </c>
      <c r="D11" s="31" t="s">
        <v>6</v>
      </c>
      <c r="E11" s="34" t="s">
        <v>197</v>
      </c>
      <c r="F11" s="34" t="s">
        <v>198</v>
      </c>
      <c r="G11" s="35"/>
    </row>
    <row r="12" customFormat="false" ht="15" hidden="false" customHeight="false" outlineLevel="0" collapsed="false">
      <c r="A12" s="32" t="n">
        <v>0.427083333333333</v>
      </c>
      <c r="B12" s="32" t="n">
        <v>0.447916666666667</v>
      </c>
      <c r="C12" s="33" t="n">
        <f aca="false">IF(AND(ISNUMBER(A12),ISNUMBER(B12)),ROUND((B12-A12)*1440,0),"")</f>
        <v>30</v>
      </c>
      <c r="D12" s="31" t="s">
        <v>6</v>
      </c>
      <c r="E12" s="34" t="s">
        <v>199</v>
      </c>
      <c r="F12" s="34" t="s">
        <v>200</v>
      </c>
      <c r="G12" s="34" t="s">
        <v>201</v>
      </c>
    </row>
    <row r="13" customFormat="false" ht="15" hidden="false" customHeight="false" outlineLevel="0" collapsed="false">
      <c r="A13" s="32" t="n">
        <v>0.447916666666667</v>
      </c>
      <c r="B13" s="32" t="n">
        <v>0.458333333333333</v>
      </c>
      <c r="C13" s="33" t="n">
        <f aca="false">IF(AND(ISNUMBER(A13),ISNUMBER(B13)),ROUND((B13-A13)*1440,0),"")</f>
        <v>15</v>
      </c>
      <c r="D13" s="31" t="s">
        <v>6</v>
      </c>
      <c r="E13" s="34" t="s">
        <v>202</v>
      </c>
      <c r="F13" s="34" t="s">
        <v>203</v>
      </c>
      <c r="G13" s="35"/>
    </row>
    <row r="14" customFormat="false" ht="15" hidden="false" customHeight="false" outlineLevel="0" collapsed="false">
      <c r="A14" s="40" t="n">
        <v>0.458333333333333</v>
      </c>
      <c r="B14" s="40" t="n">
        <v>0.496527777777778</v>
      </c>
      <c r="C14" s="41" t="n">
        <f aca="false">IF(AND(ISNUMBER(A14),ISNUMBER(B14)),ROUND((B14-A14)*1440,0),"")</f>
        <v>55</v>
      </c>
      <c r="D14" s="42" t="s">
        <v>3</v>
      </c>
      <c r="E14" s="43" t="s">
        <v>204</v>
      </c>
      <c r="F14" s="43" t="s">
        <v>205</v>
      </c>
      <c r="G14" s="49"/>
    </row>
    <row r="15" customFormat="false" ht="15" hidden="false" customHeight="false" outlineLevel="0" collapsed="false">
      <c r="A15" s="18" t="n">
        <v>0.496527777777778</v>
      </c>
      <c r="B15" s="18" t="n">
        <v>0.506944444444444</v>
      </c>
      <c r="C15" s="19" t="n">
        <f aca="false">IF(AND(ISNUMBER(A15),ISNUMBER(B15)),ROUND((B15-A15)*1440,0),"")</f>
        <v>15</v>
      </c>
      <c r="D15" s="20" t="s">
        <v>2</v>
      </c>
      <c r="E15" s="21" t="s">
        <v>124</v>
      </c>
      <c r="F15" s="28"/>
      <c r="G15" s="28"/>
    </row>
    <row r="16" customFormat="false" ht="15" hidden="false" customHeight="false" outlineLevel="0" collapsed="false">
      <c r="A16" s="18" t="n">
        <v>0.506944444444444</v>
      </c>
      <c r="B16" s="18" t="n">
        <v>0.510416666666667</v>
      </c>
      <c r="C16" s="19" t="n">
        <f aca="false">IF(AND(ISNUMBER(A16),ISNUMBER(B16)),ROUND((B16-A16)*1440,0),"")</f>
        <v>5</v>
      </c>
      <c r="D16" s="20" t="s">
        <v>2</v>
      </c>
      <c r="E16" s="21" t="s">
        <v>23</v>
      </c>
      <c r="F16" s="28"/>
      <c r="G16" s="21" t="s">
        <v>206</v>
      </c>
    </row>
    <row r="17" customFormat="false" ht="15" hidden="false" customHeight="false" outlineLevel="0" collapsed="false">
      <c r="A17" s="32" t="n">
        <v>0.513888888888889</v>
      </c>
      <c r="B17" s="32" t="n">
        <v>0.548611111111111</v>
      </c>
      <c r="C17" s="33" t="n">
        <f aca="false">IF(AND(ISNUMBER(A17),ISNUMBER(B17)),ROUND((B17-A17)*1440,0),"")</f>
        <v>50</v>
      </c>
      <c r="D17" s="31" t="s">
        <v>6</v>
      </c>
      <c r="E17" s="34" t="s">
        <v>207</v>
      </c>
      <c r="F17" s="34" t="s">
        <v>208</v>
      </c>
      <c r="G17" s="34" t="s">
        <v>209</v>
      </c>
    </row>
    <row r="18" customFormat="false" ht="15" hidden="false" customHeight="false" outlineLevel="0" collapsed="false">
      <c r="A18" s="18" t="n">
        <v>0.548611111111111</v>
      </c>
      <c r="B18" s="18" t="n">
        <v>0.569444444444444</v>
      </c>
      <c r="C18" s="19" t="n">
        <f aca="false">IF(AND(ISNUMBER(A18),ISNUMBER(B18)),ROUND((B18-A18)*1440,0),"")</f>
        <v>30</v>
      </c>
      <c r="D18" s="20" t="s">
        <v>2</v>
      </c>
      <c r="E18" s="21" t="s">
        <v>124</v>
      </c>
      <c r="F18" s="21" t="s">
        <v>210</v>
      </c>
      <c r="G18" s="21" t="s">
        <v>211</v>
      </c>
    </row>
    <row r="19" customFormat="false" ht="15" hidden="false" customHeight="false" outlineLevel="0" collapsed="false">
      <c r="A19" s="32" t="n">
        <v>0.569444444444444</v>
      </c>
      <c r="B19" s="32" t="n">
        <v>0.611111111111111</v>
      </c>
      <c r="C19" s="33" t="n">
        <f aca="false">IF(AND(ISNUMBER(A19),ISNUMBER(B19)),ROUND((B19-A19)*1440,0),"")</f>
        <v>60</v>
      </c>
      <c r="D19" s="31" t="s">
        <v>6</v>
      </c>
      <c r="E19" s="34" t="s">
        <v>212</v>
      </c>
      <c r="F19" s="34" t="s">
        <v>213</v>
      </c>
      <c r="G19" s="34" t="s">
        <v>214</v>
      </c>
    </row>
    <row r="20" customFormat="false" ht="15" hidden="false" customHeight="false" outlineLevel="0" collapsed="false">
      <c r="A20" s="18" t="n">
        <v>0.611111111111111</v>
      </c>
      <c r="B20" s="18" t="n">
        <v>0.621527777777778</v>
      </c>
      <c r="C20" s="19" t="n">
        <f aca="false">IF(AND(ISNUMBER(A20),ISNUMBER(B20)),ROUND((B20-A20)*1440,0),"")</f>
        <v>15</v>
      </c>
      <c r="D20" s="20" t="s">
        <v>2</v>
      </c>
      <c r="E20" s="21" t="s">
        <v>23</v>
      </c>
      <c r="F20" s="28"/>
      <c r="G20" s="21" t="s">
        <v>215</v>
      </c>
    </row>
    <row r="21" customFormat="false" ht="15" hidden="false" customHeight="false" outlineLevel="0" collapsed="false">
      <c r="A21" s="32" t="n">
        <v>0.621527777777778</v>
      </c>
      <c r="B21" s="32" t="n">
        <v>0.631944444444444</v>
      </c>
      <c r="C21" s="33" t="n">
        <f aca="false">IF(AND(ISNUMBER(A21),ISNUMBER(B21)),ROUND((B21-A21)*1440,0),"")</f>
        <v>15</v>
      </c>
      <c r="D21" s="31" t="s">
        <v>6</v>
      </c>
      <c r="E21" s="34" t="s">
        <v>216</v>
      </c>
      <c r="F21" s="34" t="s">
        <v>217</v>
      </c>
      <c r="G21" s="35"/>
    </row>
    <row r="22" customFormat="false" ht="15" hidden="false" customHeight="false" outlineLevel="0" collapsed="false">
      <c r="A22" s="18" t="n">
        <v>0.631944444444444</v>
      </c>
      <c r="B22" s="18" t="n">
        <v>0.635416666666667</v>
      </c>
      <c r="C22" s="19" t="n">
        <f aca="false">IF(AND(ISNUMBER(A22),ISNUMBER(B22)),ROUND((B22-A22)*1440,0),"")</f>
        <v>5</v>
      </c>
      <c r="D22" s="20" t="s">
        <v>2</v>
      </c>
      <c r="E22" s="21" t="s">
        <v>23</v>
      </c>
      <c r="F22" s="28"/>
      <c r="G22" s="21" t="s">
        <v>215</v>
      </c>
    </row>
    <row r="23" customFormat="false" ht="15" hidden="false" customHeight="false" outlineLevel="0" collapsed="false">
      <c r="A23" s="32" t="n">
        <v>0.635416666666667</v>
      </c>
      <c r="B23" s="32" t="n">
        <v>0.6875</v>
      </c>
      <c r="C23" s="33" t="n">
        <f aca="false">IF(AND(ISNUMBER(A23),ISNUMBER(B23)),ROUND((B23-A23)*1440,0),"")</f>
        <v>75</v>
      </c>
      <c r="D23" s="31" t="s">
        <v>6</v>
      </c>
      <c r="E23" s="34" t="s">
        <v>218</v>
      </c>
      <c r="F23" s="34" t="s">
        <v>219</v>
      </c>
      <c r="G23" s="34" t="s">
        <v>220</v>
      </c>
    </row>
    <row r="24" customFormat="false" ht="15" hidden="false" customHeight="false" outlineLevel="0" collapsed="false">
      <c r="A24" s="18" t="n">
        <v>0.6875</v>
      </c>
      <c r="B24" s="18" t="n">
        <v>0.701388888888889</v>
      </c>
      <c r="C24" s="19" t="n">
        <f aca="false">IF(AND(ISNUMBER(A24),ISNUMBER(B24)),ROUND((B24-A24)*1440,0),"")</f>
        <v>20</v>
      </c>
      <c r="D24" s="20" t="s">
        <v>2</v>
      </c>
      <c r="E24" s="21" t="s">
        <v>23</v>
      </c>
      <c r="F24" s="28"/>
      <c r="G24" s="21" t="s">
        <v>221</v>
      </c>
    </row>
    <row r="25" customFormat="false" ht="15" hidden="false" customHeight="false" outlineLevel="0" collapsed="false">
      <c r="A25" s="32" t="n">
        <v>0.701388888888889</v>
      </c>
      <c r="B25" s="32" t="n">
        <v>0.711805555555556</v>
      </c>
      <c r="C25" s="33" t="n">
        <f aca="false">IF(AND(ISNUMBER(A25),ISNUMBER(B25)),ROUND((B25-A25)*1440,0),"")</f>
        <v>15</v>
      </c>
      <c r="D25" s="31" t="s">
        <v>6</v>
      </c>
      <c r="E25" s="34" t="s">
        <v>87</v>
      </c>
      <c r="F25" s="34" t="s">
        <v>222</v>
      </c>
      <c r="G25" s="35"/>
    </row>
    <row r="26" customFormat="false" ht="15" hidden="false" customHeight="false" outlineLevel="0" collapsed="false">
      <c r="A26" s="18" t="n">
        <v>0.711805555555556</v>
      </c>
      <c r="B26" s="18" t="n">
        <v>0.71875</v>
      </c>
      <c r="C26" s="19" t="n">
        <f aca="false">IF(AND(ISNUMBER(A26),ISNUMBER(B26)),ROUND((B26-A26)*1440,0),"")</f>
        <v>10</v>
      </c>
      <c r="D26" s="20" t="s">
        <v>2</v>
      </c>
      <c r="E26" s="21" t="s">
        <v>23</v>
      </c>
      <c r="F26" s="28"/>
      <c r="G26" s="21" t="s">
        <v>223</v>
      </c>
    </row>
    <row r="27" customFormat="false" ht="15" hidden="false" customHeight="false" outlineLevel="0" collapsed="false">
      <c r="A27" s="36" t="n">
        <v>0.71875</v>
      </c>
      <c r="B27" s="36" t="n">
        <v>0.729166666666667</v>
      </c>
      <c r="C27" s="12" t="n">
        <f aca="false">IF(AND(ISNUMBER(A27),ISNUMBER(B27)),ROUND((B27-A27)*1440,0),"")</f>
        <v>15</v>
      </c>
      <c r="D27" s="13" t="s">
        <v>4</v>
      </c>
      <c r="E27" s="37" t="s">
        <v>53</v>
      </c>
      <c r="F27" s="14" t="s">
        <v>224</v>
      </c>
      <c r="G27" s="37"/>
    </row>
    <row r="28" customFormat="false" ht="15" hidden="false" customHeight="false" outlineLevel="0" collapsed="false">
      <c r="A28" s="18" t="n">
        <v>0.729166666666667</v>
      </c>
      <c r="B28" s="18" t="n">
        <v>0.732638888888889</v>
      </c>
      <c r="C28" s="19" t="n">
        <f aca="false">IF(AND(ISNUMBER(A28),ISNUMBER(B28)),ROUND((B28-A28)*1440,0),"")</f>
        <v>5</v>
      </c>
      <c r="D28" s="20" t="s">
        <v>2</v>
      </c>
      <c r="E28" s="21" t="s">
        <v>225</v>
      </c>
      <c r="F28" s="28"/>
      <c r="G28" s="28"/>
    </row>
    <row r="29" customFormat="false" ht="15" hidden="false" customHeight="false" outlineLevel="0" collapsed="false">
      <c r="A29" s="40" t="n">
        <v>0.732638888888889</v>
      </c>
      <c r="B29" s="40" t="n">
        <v>0.774305555555556</v>
      </c>
      <c r="C29" s="41" t="n">
        <f aca="false">IF(AND(ISNUMBER(A29),ISNUMBER(B29)),ROUND((B29-A29)*1440,0),"")</f>
        <v>60</v>
      </c>
      <c r="D29" s="42" t="s">
        <v>3</v>
      </c>
      <c r="E29" s="43" t="s">
        <v>182</v>
      </c>
      <c r="F29" s="49" t="s">
        <v>226</v>
      </c>
      <c r="G29" s="49"/>
    </row>
    <row r="30" customFormat="false" ht="15" hidden="false" customHeight="false" outlineLevel="0" collapsed="false">
      <c r="A30" s="18" t="n">
        <v>0.774305555555556</v>
      </c>
      <c r="B30" s="18" t="n">
        <v>0.777777777777778</v>
      </c>
      <c r="C30" s="19" t="n">
        <f aca="false">IF(AND(ISNUMBER(A30),ISNUMBER(B30)),ROUND((B30-A30)*1440,0),"")</f>
        <v>5</v>
      </c>
      <c r="D30" s="20" t="s">
        <v>2</v>
      </c>
      <c r="E30" s="21" t="s">
        <v>227</v>
      </c>
      <c r="F30" s="28"/>
      <c r="G30" s="28"/>
    </row>
    <row r="31" customFormat="false" ht="15" hidden="false" customHeight="false" outlineLevel="0" collapsed="false">
      <c r="A31" s="18" t="n">
        <v>0.777777777777778</v>
      </c>
      <c r="B31" s="18" t="n">
        <v>0.788194444444444</v>
      </c>
      <c r="C31" s="19" t="n">
        <f aca="false">IF(AND(ISNUMBER(A31),ISNUMBER(B31)),ROUND((B31-A31)*1440,0),"")</f>
        <v>15</v>
      </c>
      <c r="D31" s="20" t="s">
        <v>2</v>
      </c>
      <c r="E31" s="21" t="s">
        <v>23</v>
      </c>
      <c r="F31" s="28"/>
      <c r="G31" s="21" t="s">
        <v>228</v>
      </c>
    </row>
    <row r="32" customFormat="false" ht="15" hidden="false" customHeight="false" outlineLevel="0" collapsed="false">
      <c r="A32" s="32" t="n">
        <v>0.788194444444444</v>
      </c>
      <c r="B32" s="32" t="n">
        <v>0.802083333333333</v>
      </c>
      <c r="C32" s="33" t="n">
        <f aca="false">IF(AND(ISNUMBER(A32),ISNUMBER(B32)),ROUND((B32-A32)*1440,0),"")</f>
        <v>20</v>
      </c>
      <c r="D32" s="31" t="s">
        <v>6</v>
      </c>
      <c r="E32" s="34" t="s">
        <v>229</v>
      </c>
      <c r="F32" s="34" t="s">
        <v>230</v>
      </c>
      <c r="G32" s="34" t="s">
        <v>231</v>
      </c>
    </row>
    <row r="33" customFormat="false" ht="15" hidden="false" customHeight="false" outlineLevel="0" collapsed="false">
      <c r="A33" s="18" t="n">
        <v>0.802083333333333</v>
      </c>
      <c r="B33" s="18" t="n">
        <v>0.8125</v>
      </c>
      <c r="C33" s="19" t="n">
        <f aca="false">IF(AND(ISNUMBER(A33),ISNUMBER(B33)),ROUND((B33-A33)*1440,0),"")</f>
        <v>15</v>
      </c>
      <c r="D33" s="20" t="s">
        <v>2</v>
      </c>
      <c r="E33" s="21" t="s">
        <v>23</v>
      </c>
      <c r="F33" s="28"/>
      <c r="G33" s="21" t="s">
        <v>223</v>
      </c>
    </row>
    <row r="34" customFormat="false" ht="15" hidden="false" customHeight="false" outlineLevel="0" collapsed="false">
      <c r="A34" s="10"/>
      <c r="B34" s="10"/>
      <c r="C34" s="12" t="str">
        <f aca="false">IF(AND(ISNUMBER(A34),ISNUMBER(B34)),ROUND((B34-A34)*1440,0),"")</f>
        <v/>
      </c>
      <c r="D34" s="13" t="s">
        <v>4</v>
      </c>
      <c r="E34" s="14" t="s">
        <v>232</v>
      </c>
      <c r="F34" s="14" t="s">
        <v>224</v>
      </c>
      <c r="G34" s="14" t="s">
        <v>233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C4E4"/>
    <pageSetUpPr fitToPage="tru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56"/>
  </cols>
  <sheetData>
    <row r="1" customFormat="false" ht="24" hidden="false" customHeight="true" outlineLevel="0" collapsed="false">
      <c r="A1" s="56" t="s">
        <v>343</v>
      </c>
      <c r="B1" s="56"/>
      <c r="C1" s="56"/>
      <c r="D1" s="56"/>
      <c r="E1" s="56"/>
      <c r="F1" s="56"/>
      <c r="G1" s="56"/>
    </row>
    <row r="2" customFormat="false" ht="19.5" hidden="false" customHeight="true" outlineLevel="0" collapsed="false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</row>
    <row r="3" customFormat="false" ht="15" hidden="false" customHeight="false" outlineLevel="0" collapsed="false">
      <c r="A3" s="10"/>
      <c r="B3" s="10"/>
      <c r="C3" s="12" t="str">
        <f aca="false">IF(AND(ISNUMBER(A3),ISNUMBER(B3)),ROUND((B3-A3)*1440,0),"")</f>
        <v/>
      </c>
      <c r="D3" s="13" t="s">
        <v>4</v>
      </c>
      <c r="E3" s="14" t="s">
        <v>20</v>
      </c>
      <c r="F3" s="14" t="s">
        <v>224</v>
      </c>
      <c r="G3" s="37"/>
    </row>
    <row r="4" customFormat="false" ht="15" hidden="false" customHeight="false" outlineLevel="0" collapsed="false">
      <c r="A4" s="38"/>
      <c r="B4" s="38"/>
      <c r="C4" s="41" t="str">
        <f aca="false">IF(AND(ISNUMBER(A4),ISNUMBER(B4)),ROUND((B4-A4)*1440,0),"")</f>
        <v/>
      </c>
      <c r="D4" s="42" t="s">
        <v>3</v>
      </c>
      <c r="E4" s="43" t="s">
        <v>236</v>
      </c>
      <c r="F4" s="43" t="s">
        <v>224</v>
      </c>
      <c r="G4" s="49"/>
    </row>
    <row r="5" customFormat="false" ht="15" hidden="false" customHeight="false" outlineLevel="0" collapsed="false">
      <c r="A5" s="18" t="n">
        <v>0.3125</v>
      </c>
      <c r="B5" s="18" t="n">
        <v>0.333333333333333</v>
      </c>
      <c r="C5" s="19" t="n">
        <f aca="false">IF(AND(ISNUMBER(A5),ISNUMBER(B5)),ROUND((B5-A5)*1440,0),"")</f>
        <v>30</v>
      </c>
      <c r="D5" s="20" t="s">
        <v>2</v>
      </c>
      <c r="E5" s="21" t="s">
        <v>23</v>
      </c>
      <c r="F5" s="28"/>
      <c r="G5" s="21" t="s">
        <v>237</v>
      </c>
    </row>
    <row r="6" customFormat="false" ht="15" hidden="false" customHeight="false" outlineLevel="0" collapsed="false">
      <c r="A6" s="32" t="n">
        <v>0.333333333333333</v>
      </c>
      <c r="B6" s="32" t="n">
        <v>0.354166666666667</v>
      </c>
      <c r="C6" s="33" t="n">
        <f aca="false">IF(AND(ISNUMBER(A6),ISNUMBER(B6)),ROUND((B6-A6)*1440,0),"")</f>
        <v>30</v>
      </c>
      <c r="D6" s="31" t="s">
        <v>6</v>
      </c>
      <c r="E6" s="34" t="s">
        <v>238</v>
      </c>
      <c r="F6" s="34" t="s">
        <v>239</v>
      </c>
      <c r="G6" s="34" t="s">
        <v>240</v>
      </c>
    </row>
    <row r="7" customFormat="false" ht="15" hidden="false" customHeight="false" outlineLevel="0" collapsed="false">
      <c r="A7" s="32" t="n">
        <v>0.354166666666667</v>
      </c>
      <c r="B7" s="32" t="n">
        <v>0.368055555555556</v>
      </c>
      <c r="C7" s="33" t="n">
        <f aca="false">IF(AND(ISNUMBER(A7),ISNUMBER(B7)),ROUND((B7-A7)*1440,0),"")</f>
        <v>20</v>
      </c>
      <c r="D7" s="31" t="s">
        <v>6</v>
      </c>
      <c r="E7" s="34" t="s">
        <v>241</v>
      </c>
      <c r="F7" s="34" t="s">
        <v>242</v>
      </c>
      <c r="G7" s="34" t="s">
        <v>243</v>
      </c>
    </row>
    <row r="8" customFormat="false" ht="15" hidden="false" customHeight="false" outlineLevel="0" collapsed="false">
      <c r="A8" s="32" t="n">
        <v>0.368055555555556</v>
      </c>
      <c r="B8" s="32" t="n">
        <v>0.375</v>
      </c>
      <c r="C8" s="33" t="n">
        <f aca="false">IF(AND(ISNUMBER(A8),ISNUMBER(B8)),ROUND((B8-A8)*1440,0),"")</f>
        <v>10</v>
      </c>
      <c r="D8" s="31" t="s">
        <v>6</v>
      </c>
      <c r="E8" s="34" t="s">
        <v>178</v>
      </c>
      <c r="F8" s="34" t="s">
        <v>244</v>
      </c>
      <c r="G8" s="35"/>
    </row>
    <row r="9" customFormat="false" ht="29.85" hidden="false" customHeight="false" outlineLevel="0" collapsed="false">
      <c r="A9" s="32" t="n">
        <v>0.375</v>
      </c>
      <c r="B9" s="32" t="n">
        <v>0.444444444444444</v>
      </c>
      <c r="C9" s="33" t="n">
        <f aca="false">IF(AND(ISNUMBER(A9),ISNUMBER(B9)),ROUND((B9-A9)*1440,0),"")</f>
        <v>100</v>
      </c>
      <c r="D9" s="31" t="s">
        <v>6</v>
      </c>
      <c r="E9" s="34" t="s">
        <v>245</v>
      </c>
      <c r="F9" s="34" t="s">
        <v>246</v>
      </c>
      <c r="G9" s="34" t="s">
        <v>247</v>
      </c>
    </row>
    <row r="10" customFormat="false" ht="15" hidden="false" customHeight="false" outlineLevel="0" collapsed="false">
      <c r="A10" s="32" t="n">
        <v>0.444444444444444</v>
      </c>
      <c r="B10" s="32" t="n">
        <v>0.465277777777778</v>
      </c>
      <c r="C10" s="33" t="n">
        <f aca="false">IF(AND(ISNUMBER(A10),ISNUMBER(B10)),ROUND((B10-A10)*1440,0),"")</f>
        <v>30</v>
      </c>
      <c r="D10" s="31" t="s">
        <v>6</v>
      </c>
      <c r="E10" s="34" t="s">
        <v>248</v>
      </c>
      <c r="F10" s="34" t="s">
        <v>249</v>
      </c>
      <c r="G10" s="34" t="s">
        <v>250</v>
      </c>
    </row>
    <row r="11" customFormat="false" ht="15" hidden="false" customHeight="false" outlineLevel="0" collapsed="false">
      <c r="A11" s="32" t="n">
        <v>0.465277777777778</v>
      </c>
      <c r="B11" s="32" t="n">
        <v>0.479166666666667</v>
      </c>
      <c r="C11" s="33" t="n">
        <f aca="false">IF(AND(ISNUMBER(A11),ISNUMBER(B11)),ROUND((B11-A11)*1440,0),"")</f>
        <v>20</v>
      </c>
      <c r="D11" s="31" t="s">
        <v>6</v>
      </c>
      <c r="E11" s="34" t="s">
        <v>251</v>
      </c>
      <c r="F11" s="34" t="s">
        <v>252</v>
      </c>
      <c r="G11" s="34" t="s">
        <v>240</v>
      </c>
    </row>
    <row r="12" customFormat="false" ht="15" hidden="false" customHeight="false" outlineLevel="0" collapsed="false">
      <c r="A12" s="18" t="n">
        <v>0.479166666666667</v>
      </c>
      <c r="B12" s="18" t="n">
        <v>0.486111111111111</v>
      </c>
      <c r="C12" s="19" t="n">
        <f aca="false">IF(AND(ISNUMBER(A12),ISNUMBER(B12)),ROUND((B12-A12)*1440,0),"")</f>
        <v>10</v>
      </c>
      <c r="D12" s="20" t="s">
        <v>2</v>
      </c>
      <c r="E12" s="21" t="s">
        <v>253</v>
      </c>
      <c r="F12" s="28"/>
      <c r="G12" s="28"/>
    </row>
    <row r="13" customFormat="false" ht="15" hidden="false" customHeight="false" outlineLevel="0" collapsed="false">
      <c r="A13" s="18" t="n">
        <v>0.486111111111111</v>
      </c>
      <c r="B13" s="18" t="n">
        <v>0.493055555555556</v>
      </c>
      <c r="C13" s="19" t="n">
        <f aca="false">IF(AND(ISNUMBER(A13),ISNUMBER(B13)),ROUND((B13-A13)*1440,0),"")</f>
        <v>10</v>
      </c>
      <c r="D13" s="20" t="s">
        <v>2</v>
      </c>
      <c r="E13" s="21" t="s">
        <v>23</v>
      </c>
      <c r="F13" s="28"/>
      <c r="G13" s="21" t="s">
        <v>177</v>
      </c>
    </row>
    <row r="14" customFormat="false" ht="15" hidden="false" customHeight="false" outlineLevel="0" collapsed="false">
      <c r="A14" s="40" t="n">
        <v>0.493055555555556</v>
      </c>
      <c r="B14" s="38"/>
      <c r="C14" s="41" t="str">
        <f aca="false">IF(AND(ISNUMBER(A14),ISNUMBER(B14)),ROUND((B14-A14)*1440,0),"")</f>
        <v/>
      </c>
      <c r="D14" s="42" t="s">
        <v>3</v>
      </c>
      <c r="E14" s="43" t="s">
        <v>254</v>
      </c>
      <c r="F14" s="43" t="s">
        <v>255</v>
      </c>
      <c r="G14" s="43" t="s">
        <v>256</v>
      </c>
    </row>
    <row r="15" customFormat="false" ht="15" hidden="false" customHeight="false" outlineLevel="0" collapsed="false">
      <c r="A15" s="30"/>
      <c r="B15" s="30"/>
      <c r="C15" s="33" t="str">
        <f aca="false">IF(AND(ISNUMBER(A15),ISNUMBER(B15)),ROUND((B15-A15)*1440,0),"")</f>
        <v/>
      </c>
      <c r="D15" s="31" t="s">
        <v>6</v>
      </c>
      <c r="E15" s="35"/>
      <c r="F15" s="34" t="s">
        <v>257</v>
      </c>
      <c r="G15" s="34" t="s">
        <v>258</v>
      </c>
    </row>
    <row r="16" customFormat="false" ht="26.85" hidden="false" customHeight="false" outlineLevel="0" collapsed="false">
      <c r="A16" s="30"/>
      <c r="B16" s="30"/>
      <c r="C16" s="33" t="str">
        <f aca="false">IF(AND(ISNUMBER(A16),ISNUMBER(B16)),ROUND((B16-A16)*1440,0),"")</f>
        <v/>
      </c>
      <c r="D16" s="31" t="s">
        <v>6</v>
      </c>
      <c r="E16" s="35"/>
      <c r="F16" s="34" t="s">
        <v>259</v>
      </c>
      <c r="G16" s="34" t="s">
        <v>260</v>
      </c>
    </row>
    <row r="17" customFormat="false" ht="15" hidden="false" customHeight="false" outlineLevel="0" collapsed="false">
      <c r="A17" s="30"/>
      <c r="B17" s="30"/>
      <c r="C17" s="33" t="str">
        <f aca="false">IF(AND(ISNUMBER(A17),ISNUMBER(B17)),ROUND((B17-A17)*1440,0),"")</f>
        <v/>
      </c>
      <c r="D17" s="31" t="s">
        <v>6</v>
      </c>
      <c r="E17" s="35"/>
      <c r="F17" s="34" t="s">
        <v>261</v>
      </c>
      <c r="G17" s="34" t="s">
        <v>262</v>
      </c>
    </row>
    <row r="18" customFormat="false" ht="15" hidden="false" customHeight="false" outlineLevel="0" collapsed="false">
      <c r="A18" s="30"/>
      <c r="B18" s="30"/>
      <c r="C18" s="33" t="str">
        <f aca="false">IF(AND(ISNUMBER(A18),ISNUMBER(B18)),ROUND((B18-A18)*1440,0),"")</f>
        <v/>
      </c>
      <c r="D18" s="31" t="s">
        <v>6</v>
      </c>
      <c r="E18" s="35"/>
      <c r="F18" s="34" t="s">
        <v>263</v>
      </c>
      <c r="G18" s="34" t="s">
        <v>264</v>
      </c>
    </row>
    <row r="19" customFormat="false" ht="15" hidden="false" customHeight="false" outlineLevel="0" collapsed="false">
      <c r="A19" s="30"/>
      <c r="B19" s="30"/>
      <c r="C19" s="33" t="str">
        <f aca="false">IF(AND(ISNUMBER(A19),ISNUMBER(B19)),ROUND((B19-A19)*1440,0),"")</f>
        <v/>
      </c>
      <c r="D19" s="31" t="s">
        <v>6</v>
      </c>
      <c r="E19" s="35"/>
      <c r="F19" s="34" t="s">
        <v>265</v>
      </c>
      <c r="G19" s="34" t="s">
        <v>266</v>
      </c>
    </row>
    <row r="20" customFormat="false" ht="15" hidden="false" customHeight="false" outlineLevel="0" collapsed="false">
      <c r="A20" s="30"/>
      <c r="B20" s="32" t="n">
        <v>0.583333333333333</v>
      </c>
      <c r="C20" s="33" t="str">
        <f aca="false">IF(AND(ISNUMBER(A20),ISNUMBER(B20)),ROUND((B20-A20)*1440,0),"")</f>
        <v/>
      </c>
      <c r="D20" s="31" t="s">
        <v>6</v>
      </c>
      <c r="E20" s="35"/>
      <c r="F20" s="34" t="s">
        <v>267</v>
      </c>
      <c r="G20" s="34" t="s">
        <v>268</v>
      </c>
    </row>
    <row r="21" customFormat="false" ht="15" hidden="false" customHeight="false" outlineLevel="0" collapsed="false">
      <c r="A21" s="18" t="n">
        <v>0.583333333333333</v>
      </c>
      <c r="B21" s="18" t="n">
        <v>0.645833333333333</v>
      </c>
      <c r="C21" s="19" t="n">
        <f aca="false">IF(AND(ISNUMBER(A21),ISNUMBER(B21)),ROUND((B21-A21)*1440,0),"")</f>
        <v>90</v>
      </c>
      <c r="D21" s="20" t="s">
        <v>2</v>
      </c>
      <c r="E21" s="21" t="s">
        <v>23</v>
      </c>
      <c r="F21" s="28"/>
      <c r="G21" s="21" t="s">
        <v>269</v>
      </c>
    </row>
    <row r="22" customFormat="false" ht="15" hidden="false" customHeight="false" outlineLevel="0" collapsed="false">
      <c r="A22" s="32" t="n">
        <v>0.645833333333333</v>
      </c>
      <c r="B22" s="32" t="n">
        <v>0.791666666666667</v>
      </c>
      <c r="C22" s="33" t="n">
        <f aca="false">IF(AND(ISNUMBER(A22),ISNUMBER(B22)),ROUND((B22-A22)*1440,0),"")</f>
        <v>210</v>
      </c>
      <c r="D22" s="31" t="s">
        <v>6</v>
      </c>
      <c r="E22" s="34" t="s">
        <v>270</v>
      </c>
      <c r="F22" s="34" t="s">
        <v>271</v>
      </c>
      <c r="G22" s="34" t="s">
        <v>272</v>
      </c>
    </row>
    <row r="23" customFormat="false" ht="15" hidden="false" customHeight="false" outlineLevel="0" collapsed="false">
      <c r="A23" s="18" t="n">
        <v>0.791666666666667</v>
      </c>
      <c r="B23" s="18" t="n">
        <v>0.8125</v>
      </c>
      <c r="C23" s="19" t="n">
        <f aca="false">IF(AND(ISNUMBER(A23),ISNUMBER(B23)),ROUND((B23-A23)*1440,0),"")</f>
        <v>30</v>
      </c>
      <c r="D23" s="20" t="s">
        <v>2</v>
      </c>
      <c r="E23" s="21" t="s">
        <v>23</v>
      </c>
      <c r="F23" s="28"/>
      <c r="G23" s="21" t="s">
        <v>273</v>
      </c>
    </row>
    <row r="24" customFormat="false" ht="15" hidden="false" customHeight="false" outlineLevel="0" collapsed="false">
      <c r="A24" s="32" t="n">
        <v>0.8125</v>
      </c>
      <c r="B24" s="32" t="n">
        <v>0.826388888888889</v>
      </c>
      <c r="C24" s="33" t="n">
        <f aca="false">IF(AND(ISNUMBER(A24),ISNUMBER(B24)),ROUND((B24-A24)*1440,0),"")</f>
        <v>20</v>
      </c>
      <c r="D24" s="31" t="s">
        <v>6</v>
      </c>
      <c r="E24" s="34" t="s">
        <v>274</v>
      </c>
      <c r="F24" s="34" t="s">
        <v>275</v>
      </c>
      <c r="G24" s="35"/>
    </row>
    <row r="25" customFormat="false" ht="15" hidden="false" customHeight="false" outlineLevel="0" collapsed="false">
      <c r="A25" s="18" t="n">
        <v>0.826388888888889</v>
      </c>
      <c r="B25" s="18" t="n">
        <v>0.833333333333333</v>
      </c>
      <c r="C25" s="19" t="n">
        <f aca="false">IF(AND(ISNUMBER(A25),ISNUMBER(B25)),ROUND((B25-A25)*1440,0),"")</f>
        <v>10</v>
      </c>
      <c r="D25" s="20" t="s">
        <v>2</v>
      </c>
      <c r="E25" s="21" t="s">
        <v>23</v>
      </c>
      <c r="F25" s="28"/>
      <c r="G25" s="21" t="s">
        <v>276</v>
      </c>
    </row>
    <row r="26" customFormat="false" ht="15" hidden="false" customHeight="false" outlineLevel="0" collapsed="false">
      <c r="A26" s="40" t="n">
        <v>0.833333333333333</v>
      </c>
      <c r="B26" s="40" t="n">
        <v>0.875</v>
      </c>
      <c r="C26" s="41" t="n">
        <f aca="false">IF(AND(ISNUMBER(A26),ISNUMBER(B26)),ROUND((B26-A26)*1440,0),"")</f>
        <v>60</v>
      </c>
      <c r="D26" s="42" t="s">
        <v>3</v>
      </c>
      <c r="E26" s="43" t="s">
        <v>277</v>
      </c>
      <c r="F26" s="43" t="s">
        <v>278</v>
      </c>
      <c r="G26" s="49"/>
    </row>
    <row r="27" customFormat="false" ht="15" hidden="false" customHeight="false" outlineLevel="0" collapsed="false">
      <c r="A27" s="18" t="n">
        <v>0.875</v>
      </c>
      <c r="B27" s="18" t="n">
        <v>0.881944444444444</v>
      </c>
      <c r="C27" s="19" t="n">
        <f aca="false">IF(AND(ISNUMBER(A27),ISNUMBER(B27)),ROUND((B27-A27)*1440,0),"")</f>
        <v>10</v>
      </c>
      <c r="D27" s="20" t="s">
        <v>2</v>
      </c>
      <c r="E27" s="21" t="s">
        <v>23</v>
      </c>
      <c r="F27" s="28"/>
      <c r="G27" s="21" t="s">
        <v>279</v>
      </c>
    </row>
    <row r="28" customFormat="false" ht="15" hidden="false" customHeight="false" outlineLevel="0" collapsed="false">
      <c r="A28" s="10"/>
      <c r="B28" s="10"/>
      <c r="C28" s="12" t="str">
        <f aca="false">IF(AND(ISNUMBER(A28),ISNUMBER(B28)),ROUND((B28-A28)*1440,0),"")</f>
        <v/>
      </c>
      <c r="D28" s="13" t="s">
        <v>4</v>
      </c>
      <c r="E28" s="37" t="s">
        <v>53</v>
      </c>
      <c r="F28" s="37" t="s">
        <v>280</v>
      </c>
      <c r="G28" s="3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C4E4"/>
    <pageSetUpPr fitToPage="tru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56"/>
  </cols>
  <sheetData>
    <row r="1" customFormat="false" ht="24" hidden="false" customHeight="true" outlineLevel="0" collapsed="false">
      <c r="A1" s="56" t="s">
        <v>344</v>
      </c>
      <c r="B1" s="56"/>
      <c r="C1" s="56"/>
      <c r="D1" s="56"/>
      <c r="E1" s="56"/>
      <c r="F1" s="56"/>
      <c r="G1" s="56"/>
    </row>
    <row r="2" customFormat="false" ht="19.5" hidden="false" customHeight="true" outlineLevel="0" collapsed="false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</row>
    <row r="3" customFormat="false" ht="15" hidden="false" customHeight="false" outlineLevel="0" collapsed="false">
      <c r="A3" s="10"/>
      <c r="B3" s="10"/>
      <c r="C3" s="12" t="str">
        <f aca="false">IF(AND(ISNUMBER(A3),ISNUMBER(B3)),ROUND((B3-A3)*1440,0),"")</f>
        <v/>
      </c>
      <c r="D3" s="13" t="s">
        <v>4</v>
      </c>
      <c r="E3" s="14" t="s">
        <v>20</v>
      </c>
      <c r="F3" s="37" t="s">
        <v>280</v>
      </c>
      <c r="G3" s="37"/>
    </row>
    <row r="4" customFormat="false" ht="15" hidden="false" customHeight="false" outlineLevel="0" collapsed="false">
      <c r="A4" s="38"/>
      <c r="B4" s="38"/>
      <c r="C4" s="41" t="str">
        <f aca="false">IF(AND(ISNUMBER(A4),ISNUMBER(B4)),ROUND((B4-A4)*1440,0),"")</f>
        <v/>
      </c>
      <c r="D4" s="42" t="s">
        <v>3</v>
      </c>
      <c r="E4" s="43" t="s">
        <v>283</v>
      </c>
      <c r="F4" s="49" t="s">
        <v>280</v>
      </c>
      <c r="G4" s="49"/>
    </row>
    <row r="5" customFormat="false" ht="15" hidden="false" customHeight="false" outlineLevel="0" collapsed="false">
      <c r="A5" s="18" t="n">
        <v>0.322916666666667</v>
      </c>
      <c r="B5" s="18" t="n">
        <v>0.333333333333333</v>
      </c>
      <c r="C5" s="19" t="n">
        <f aca="false">IF(AND(ISNUMBER(A5),ISNUMBER(B5)),ROUND((B5-A5)*1440,0),"")</f>
        <v>15</v>
      </c>
      <c r="D5" s="20" t="s">
        <v>2</v>
      </c>
      <c r="E5" s="21" t="s">
        <v>23</v>
      </c>
      <c r="F5" s="28"/>
      <c r="G5" s="21" t="s">
        <v>284</v>
      </c>
    </row>
    <row r="6" customFormat="false" ht="15" hidden="false" customHeight="false" outlineLevel="0" collapsed="false">
      <c r="A6" s="32" t="n">
        <v>0.333333333333333</v>
      </c>
      <c r="B6" s="32" t="n">
        <v>0.354166666666667</v>
      </c>
      <c r="C6" s="33" t="n">
        <f aca="false">IF(AND(ISNUMBER(A6),ISNUMBER(B6)),ROUND((B6-A6)*1440,0),"")</f>
        <v>30</v>
      </c>
      <c r="D6" s="31" t="s">
        <v>6</v>
      </c>
      <c r="E6" s="34" t="s">
        <v>285</v>
      </c>
      <c r="F6" s="34" t="s">
        <v>286</v>
      </c>
      <c r="G6" s="35"/>
    </row>
    <row r="7" customFormat="false" ht="15" hidden="false" customHeight="false" outlineLevel="0" collapsed="false">
      <c r="A7" s="18" t="n">
        <v>0.354166666666667</v>
      </c>
      <c r="B7" s="18" t="n">
        <v>0.375</v>
      </c>
      <c r="C7" s="19" t="n">
        <f aca="false">IF(AND(ISNUMBER(A7),ISNUMBER(B7)),ROUND((B7-A7)*1440,0),"")</f>
        <v>30</v>
      </c>
      <c r="D7" s="20" t="s">
        <v>2</v>
      </c>
      <c r="E7" s="21" t="s">
        <v>23</v>
      </c>
      <c r="F7" s="28"/>
      <c r="G7" s="21" t="s">
        <v>287</v>
      </c>
    </row>
    <row r="8" customFormat="false" ht="15" hidden="false" customHeight="false" outlineLevel="0" collapsed="false">
      <c r="A8" s="32" t="n">
        <v>0.375</v>
      </c>
      <c r="B8" s="32" t="n">
        <v>0.40625</v>
      </c>
      <c r="C8" s="33" t="n">
        <f aca="false">IF(AND(ISNUMBER(A8),ISNUMBER(B8)),ROUND((B8-A8)*1440,0),"")</f>
        <v>45</v>
      </c>
      <c r="D8" s="31" t="s">
        <v>6</v>
      </c>
      <c r="E8" s="34" t="s">
        <v>288</v>
      </c>
      <c r="F8" s="34" t="s">
        <v>289</v>
      </c>
      <c r="G8" s="34" t="s">
        <v>290</v>
      </c>
    </row>
    <row r="9" customFormat="false" ht="15" hidden="false" customHeight="false" outlineLevel="0" collapsed="false">
      <c r="A9" s="18" t="n">
        <v>0.40625</v>
      </c>
      <c r="B9" s="18" t="n">
        <v>0.416666666666667</v>
      </c>
      <c r="C9" s="19" t="n">
        <f aca="false">IF(AND(ISNUMBER(A9),ISNUMBER(B9)),ROUND((B9-A9)*1440,0),"")</f>
        <v>15</v>
      </c>
      <c r="D9" s="20" t="s">
        <v>2</v>
      </c>
      <c r="E9" s="21" t="s">
        <v>23</v>
      </c>
      <c r="F9" s="28"/>
      <c r="G9" s="28"/>
    </row>
    <row r="10" customFormat="false" ht="15" hidden="false" customHeight="false" outlineLevel="0" collapsed="false">
      <c r="A10" s="32" t="n">
        <v>0.416666666666667</v>
      </c>
      <c r="B10" s="32" t="n">
        <v>0.5</v>
      </c>
      <c r="C10" s="33" t="n">
        <f aca="false">IF(AND(ISNUMBER(A10),ISNUMBER(B10)),ROUND((B10-A10)*1440,0),"")</f>
        <v>120</v>
      </c>
      <c r="D10" s="31" t="s">
        <v>6</v>
      </c>
      <c r="E10" s="34" t="s">
        <v>291</v>
      </c>
      <c r="F10" s="34" t="s">
        <v>292</v>
      </c>
      <c r="G10" s="34" t="s">
        <v>293</v>
      </c>
    </row>
    <row r="11" customFormat="false" ht="15" hidden="false" customHeight="false" outlineLevel="0" collapsed="false">
      <c r="A11" s="18" t="n">
        <v>0.5</v>
      </c>
      <c r="B11" s="18" t="n">
        <v>0.503472222222222</v>
      </c>
      <c r="C11" s="19" t="n">
        <f aca="false">IF(AND(ISNUMBER(A11),ISNUMBER(B11)),ROUND((B11-A11)*1440,0),"")</f>
        <v>5</v>
      </c>
      <c r="D11" s="20" t="s">
        <v>2</v>
      </c>
      <c r="E11" s="21" t="s">
        <v>23</v>
      </c>
      <c r="F11" s="28"/>
      <c r="G11" s="28"/>
    </row>
    <row r="12" customFormat="false" ht="15" hidden="false" customHeight="false" outlineLevel="0" collapsed="false">
      <c r="A12" s="40" t="n">
        <v>0.503472222222222</v>
      </c>
      <c r="B12" s="40" t="n">
        <v>0.545138888888889</v>
      </c>
      <c r="C12" s="41" t="n">
        <f aca="false">IF(AND(ISNUMBER(A12),ISNUMBER(B12)),ROUND((B12-A12)*1440,0),"")</f>
        <v>60</v>
      </c>
      <c r="D12" s="42" t="s">
        <v>3</v>
      </c>
      <c r="E12" s="43" t="s">
        <v>294</v>
      </c>
      <c r="F12" s="43" t="s">
        <v>295</v>
      </c>
      <c r="G12" s="49" t="s">
        <v>296</v>
      </c>
    </row>
    <row r="13" customFormat="false" ht="15" hidden="false" customHeight="false" outlineLevel="0" collapsed="false">
      <c r="A13" s="18" t="n">
        <v>0.545138888888889</v>
      </c>
      <c r="B13" s="18" t="n">
        <v>0.645833333333333</v>
      </c>
      <c r="C13" s="19" t="n">
        <f aca="false">IF(AND(ISNUMBER(A13),ISNUMBER(B13)),ROUND((B13-A13)*1440,0),"")</f>
        <v>145</v>
      </c>
      <c r="D13" s="20" t="s">
        <v>2</v>
      </c>
      <c r="E13" s="21" t="s">
        <v>23</v>
      </c>
      <c r="F13" s="28"/>
      <c r="G13" s="28" t="s">
        <v>297</v>
      </c>
    </row>
    <row r="14" customFormat="false" ht="15" hidden="false" customHeight="false" outlineLevel="0" collapsed="false">
      <c r="A14" s="36" t="n">
        <v>0.645833333333333</v>
      </c>
      <c r="B14" s="36" t="n">
        <v>0.677083333333333</v>
      </c>
      <c r="C14" s="12" t="n">
        <f aca="false">IF(AND(ISNUMBER(A14),ISNUMBER(B14)),ROUND((B14-A14)*1440,0),"")</f>
        <v>45</v>
      </c>
      <c r="D14" s="13" t="s">
        <v>4</v>
      </c>
      <c r="E14" s="37" t="s">
        <v>53</v>
      </c>
      <c r="F14" s="37" t="s">
        <v>298</v>
      </c>
      <c r="G14" s="14" t="s">
        <v>299</v>
      </c>
    </row>
    <row r="15" customFormat="false" ht="15" hidden="false" customHeight="false" outlineLevel="0" collapsed="false">
      <c r="A15" s="24" t="n">
        <v>0.65625</v>
      </c>
      <c r="B15" s="24" t="n">
        <v>0.677083333333333</v>
      </c>
      <c r="C15" s="25" t="n">
        <f aca="false">IF(AND(ISNUMBER(A15),ISNUMBER(B15)),ROUND((B15-A15)*1440,0),"")</f>
        <v>30</v>
      </c>
      <c r="D15" s="26" t="s">
        <v>5</v>
      </c>
      <c r="E15" s="27" t="s">
        <v>300</v>
      </c>
      <c r="F15" s="29" t="s">
        <v>301</v>
      </c>
      <c r="G15" s="29"/>
    </row>
    <row r="16" customFormat="false" ht="15" hidden="false" customHeight="false" outlineLevel="0" collapsed="false">
      <c r="A16" s="18" t="n">
        <v>0.677083333333333</v>
      </c>
      <c r="B16" s="18" t="n">
        <v>0.6875</v>
      </c>
      <c r="C16" s="19" t="n">
        <f aca="false">IF(AND(ISNUMBER(A16),ISNUMBER(B16)),ROUND((B16-A16)*1440,0),"")</f>
        <v>15</v>
      </c>
      <c r="D16" s="20" t="s">
        <v>2</v>
      </c>
      <c r="E16" s="21" t="s">
        <v>302</v>
      </c>
      <c r="F16" s="28"/>
      <c r="G16" s="28"/>
    </row>
    <row r="17" customFormat="false" ht="15" hidden="false" customHeight="false" outlineLevel="0" collapsed="false">
      <c r="A17" s="18" t="n">
        <v>0.6875</v>
      </c>
      <c r="B17" s="18" t="n">
        <v>0.697222222222222</v>
      </c>
      <c r="C17" s="19" t="n">
        <f aca="false">IF(AND(ISNUMBER(A17),ISNUMBER(B17)),ROUND((B17-A17)*1440,0),"")</f>
        <v>14</v>
      </c>
      <c r="D17" s="20" t="s">
        <v>2</v>
      </c>
      <c r="E17" s="21" t="s">
        <v>303</v>
      </c>
      <c r="F17" s="28"/>
      <c r="G17" s="21" t="s">
        <v>304</v>
      </c>
    </row>
    <row r="18" customFormat="false" ht="15" hidden="false" customHeight="false" outlineLevel="0" collapsed="false">
      <c r="A18" s="40" t="n">
        <v>0.697916666666667</v>
      </c>
      <c r="B18" s="40" t="n">
        <v>0.875</v>
      </c>
      <c r="C18" s="41" t="n">
        <f aca="false">IF(AND(ISNUMBER(A18),ISNUMBER(B18)),ROUND((B18-A18)*1440,0),"")</f>
        <v>255</v>
      </c>
      <c r="D18" s="42" t="s">
        <v>3</v>
      </c>
      <c r="E18" s="43" t="s">
        <v>305</v>
      </c>
      <c r="F18" s="43" t="s">
        <v>306</v>
      </c>
      <c r="G18" s="49" t="s">
        <v>307</v>
      </c>
    </row>
    <row r="19" customFormat="false" ht="15" hidden="false" customHeight="false" outlineLevel="0" collapsed="false">
      <c r="A19" s="18" t="n">
        <v>0.880555555555556</v>
      </c>
      <c r="B19" s="18" t="n">
        <v>0.890972222222222</v>
      </c>
      <c r="C19" s="19" t="n">
        <f aca="false">IF(AND(ISNUMBER(A19),ISNUMBER(B19)),ROUND((B19-A19)*1440,0),"")</f>
        <v>15</v>
      </c>
      <c r="D19" s="20" t="s">
        <v>2</v>
      </c>
      <c r="E19" s="21" t="s">
        <v>308</v>
      </c>
      <c r="F19" s="28"/>
      <c r="G19" s="21" t="s">
        <v>309</v>
      </c>
    </row>
    <row r="20" customFormat="false" ht="15" hidden="false" customHeight="false" outlineLevel="0" collapsed="false">
      <c r="A20" s="18" t="n">
        <v>0.890972222222222</v>
      </c>
      <c r="B20" s="18" t="n">
        <v>0.895833333333333</v>
      </c>
      <c r="C20" s="19" t="n">
        <f aca="false">IF(AND(ISNUMBER(A20),ISNUMBER(B20)),ROUND((B20-A20)*1440,0),"")</f>
        <v>7</v>
      </c>
      <c r="D20" s="20" t="s">
        <v>2</v>
      </c>
      <c r="E20" s="21" t="s">
        <v>310</v>
      </c>
      <c r="F20" s="28"/>
      <c r="G20" s="28"/>
    </row>
    <row r="21" customFormat="false" ht="15" hidden="false" customHeight="false" outlineLevel="0" collapsed="false">
      <c r="A21" s="10"/>
      <c r="B21" s="10"/>
      <c r="C21" s="12" t="str">
        <f aca="false">IF(AND(ISNUMBER(A21),ISNUMBER(B21)),ROUND((B21-A21)*1440,0),"")</f>
        <v/>
      </c>
      <c r="D21" s="13" t="s">
        <v>4</v>
      </c>
      <c r="E21" s="14" t="s">
        <v>311</v>
      </c>
      <c r="F21" s="37" t="s">
        <v>298</v>
      </c>
      <c r="G21" s="3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C4E4"/>
    <pageSetUpPr fitToPage="tru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56"/>
  </cols>
  <sheetData>
    <row r="1" customFormat="false" ht="24" hidden="false" customHeight="true" outlineLevel="0" collapsed="false">
      <c r="A1" s="56" t="s">
        <v>345</v>
      </c>
      <c r="B1" s="56"/>
      <c r="C1" s="56"/>
      <c r="D1" s="56"/>
      <c r="E1" s="56"/>
      <c r="F1" s="56"/>
      <c r="G1" s="56"/>
    </row>
    <row r="2" customFormat="false" ht="19.5" hidden="false" customHeight="true" outlineLevel="0" collapsed="false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</row>
    <row r="3" customFormat="false" ht="15" hidden="false" customHeight="false" outlineLevel="0" collapsed="false">
      <c r="A3" s="10"/>
      <c r="B3" s="10"/>
      <c r="C3" s="12" t="str">
        <f aca="false">IF(AND(ISNUMBER(A3),ISNUMBER(B3)),ROUND((B3-A3)*1440,0),"")</f>
        <v/>
      </c>
      <c r="D3" s="13" t="s">
        <v>4</v>
      </c>
      <c r="E3" s="14" t="s">
        <v>20</v>
      </c>
      <c r="F3" s="37" t="s">
        <v>298</v>
      </c>
      <c r="G3" s="37"/>
    </row>
    <row r="4" customFormat="false" ht="15" hidden="false" customHeight="false" outlineLevel="0" collapsed="false">
      <c r="A4" s="18" t="n">
        <v>0.354166666666667</v>
      </c>
      <c r="B4" s="18" t="n">
        <v>0.368055555555556</v>
      </c>
      <c r="C4" s="19" t="n">
        <f aca="false">IF(AND(ISNUMBER(A4),ISNUMBER(B4)),ROUND((B4-A4)*1440,0),"")</f>
        <v>20</v>
      </c>
      <c r="D4" s="20" t="s">
        <v>2</v>
      </c>
      <c r="E4" s="21" t="s">
        <v>313</v>
      </c>
      <c r="F4" s="21" t="s">
        <v>314</v>
      </c>
      <c r="G4" s="21" t="s">
        <v>315</v>
      </c>
    </row>
    <row r="5" customFormat="false" ht="15" hidden="false" customHeight="false" outlineLevel="0" collapsed="false">
      <c r="A5" s="32" t="n">
        <v>0.368055555555556</v>
      </c>
      <c r="B5" s="32" t="n">
        <v>0.395833333333333</v>
      </c>
      <c r="C5" s="33" t="n">
        <f aca="false">IF(AND(ISNUMBER(A5),ISNUMBER(B5)),ROUND((B5-A5)*1440,0),"")</f>
        <v>40</v>
      </c>
      <c r="D5" s="31" t="s">
        <v>6</v>
      </c>
      <c r="E5" s="34" t="s">
        <v>178</v>
      </c>
      <c r="F5" s="34" t="s">
        <v>316</v>
      </c>
      <c r="G5" s="34" t="s">
        <v>317</v>
      </c>
    </row>
    <row r="6" customFormat="false" ht="15" hidden="false" customHeight="false" outlineLevel="0" collapsed="false">
      <c r="A6" s="24" t="n">
        <v>0.392361111111111</v>
      </c>
      <c r="B6" s="24" t="n">
        <v>0.399305555555556</v>
      </c>
      <c r="C6" s="25" t="n">
        <f aca="false">IF(AND(ISNUMBER(A6),ISNUMBER(B6)),ROUND((B6-A6)*1440,0),"")</f>
        <v>10</v>
      </c>
      <c r="D6" s="26" t="s">
        <v>5</v>
      </c>
      <c r="E6" s="27" t="s">
        <v>318</v>
      </c>
      <c r="F6" s="27" t="s">
        <v>319</v>
      </c>
      <c r="G6" s="29"/>
    </row>
    <row r="7" customFormat="false" ht="15" hidden="false" customHeight="false" outlineLevel="0" collapsed="false">
      <c r="A7" s="32" t="n">
        <v>0.399305555555556</v>
      </c>
      <c r="B7" s="32" t="n">
        <v>0.413194444444444</v>
      </c>
      <c r="C7" s="33" t="n">
        <f aca="false">IF(AND(ISNUMBER(A7),ISNUMBER(B7)),ROUND((B7-A7)*1440,0),"")</f>
        <v>20</v>
      </c>
      <c r="D7" s="31" t="s">
        <v>6</v>
      </c>
      <c r="E7" s="34" t="s">
        <v>320</v>
      </c>
      <c r="F7" s="34" t="s">
        <v>314</v>
      </c>
      <c r="G7" s="35"/>
    </row>
    <row r="8" customFormat="false" ht="15" hidden="false" customHeight="false" outlineLevel="0" collapsed="false">
      <c r="A8" s="24" t="n">
        <v>0.413194444444444</v>
      </c>
      <c r="B8" s="24" t="n">
        <v>0.420138888888889</v>
      </c>
      <c r="C8" s="25" t="n">
        <f aca="false">IF(AND(ISNUMBER(A8),ISNUMBER(B8)),ROUND((B8-A8)*1440,0),"")</f>
        <v>10</v>
      </c>
      <c r="D8" s="26" t="s">
        <v>5</v>
      </c>
      <c r="E8" s="27" t="s">
        <v>318</v>
      </c>
      <c r="F8" s="27" t="s">
        <v>321</v>
      </c>
      <c r="G8" s="29"/>
    </row>
    <row r="9" customFormat="false" ht="29.85" hidden="false" customHeight="false" outlineLevel="0" collapsed="false">
      <c r="A9" s="40" t="n">
        <v>0.423611111111111</v>
      </c>
      <c r="B9" s="40" t="n">
        <v>0.465277777777778</v>
      </c>
      <c r="C9" s="41" t="n">
        <f aca="false">IF(AND(ISNUMBER(A9),ISNUMBER(B9)),ROUND((B9-A9)*1440,0),"")</f>
        <v>60</v>
      </c>
      <c r="D9" s="42" t="s">
        <v>3</v>
      </c>
      <c r="E9" s="43" t="s">
        <v>322</v>
      </c>
      <c r="F9" s="43" t="s">
        <v>319</v>
      </c>
      <c r="G9" s="43" t="s">
        <v>323</v>
      </c>
    </row>
    <row r="10" customFormat="false" ht="15" hidden="false" customHeight="false" outlineLevel="0" collapsed="false">
      <c r="A10" s="40" t="n">
        <v>0.465277777777778</v>
      </c>
      <c r="B10" s="40" t="n">
        <v>0.506944444444444</v>
      </c>
      <c r="C10" s="41" t="n">
        <f aca="false">IF(AND(ISNUMBER(A10),ISNUMBER(B10)),ROUND((B10-A10)*1440,0),"")</f>
        <v>60</v>
      </c>
      <c r="D10" s="42" t="s">
        <v>3</v>
      </c>
      <c r="E10" s="43" t="s">
        <v>322</v>
      </c>
      <c r="F10" s="43" t="s">
        <v>321</v>
      </c>
      <c r="G10" s="43" t="s">
        <v>324</v>
      </c>
    </row>
    <row r="11" customFormat="false" ht="15" hidden="false" customHeight="false" outlineLevel="0" collapsed="false">
      <c r="A11" s="32" t="n">
        <v>0.506944444444444</v>
      </c>
      <c r="B11" s="32" t="n">
        <v>0.541666666666667</v>
      </c>
      <c r="C11" s="33" t="n">
        <f aca="false">IF(AND(ISNUMBER(A11),ISNUMBER(B11)),ROUND((B11-A11)*1440,0),"")</f>
        <v>50</v>
      </c>
      <c r="D11" s="31" t="s">
        <v>6</v>
      </c>
      <c r="E11" s="34" t="s">
        <v>325</v>
      </c>
      <c r="F11" s="34" t="s">
        <v>314</v>
      </c>
      <c r="G11" s="35"/>
    </row>
    <row r="12" customFormat="false" ht="15" hidden="false" customHeight="false" outlineLevel="0" collapsed="false">
      <c r="A12" s="18" t="n">
        <v>0.541666666666667</v>
      </c>
      <c r="B12" s="18" t="n">
        <v>0.555555555555556</v>
      </c>
      <c r="C12" s="19" t="n">
        <f aca="false">IF(AND(ISNUMBER(A12),ISNUMBER(B12)),ROUND((B12-A12)*1440,0),"")</f>
        <v>20</v>
      </c>
      <c r="D12" s="20" t="s">
        <v>2</v>
      </c>
      <c r="E12" s="21" t="s">
        <v>124</v>
      </c>
      <c r="F12" s="28"/>
      <c r="G12" s="28"/>
    </row>
    <row r="13" customFormat="false" ht="15" hidden="false" customHeight="false" outlineLevel="0" collapsed="false">
      <c r="A13" s="24" t="n">
        <v>0.555555555555556</v>
      </c>
      <c r="B13" s="24" t="n">
        <v>0.5625</v>
      </c>
      <c r="C13" s="25" t="n">
        <f aca="false">IF(AND(ISNUMBER(A13),ISNUMBER(B13)),ROUND((B13-A13)*1440,0),"")</f>
        <v>10</v>
      </c>
      <c r="D13" s="26" t="s">
        <v>5</v>
      </c>
      <c r="E13" s="27" t="s">
        <v>326</v>
      </c>
      <c r="F13" s="29" t="s">
        <v>298</v>
      </c>
      <c r="G13" s="29"/>
    </row>
    <row r="14" customFormat="false" ht="15" hidden="false" customHeight="false" outlineLevel="0" collapsed="false">
      <c r="A14" s="18" t="n">
        <v>0.5625</v>
      </c>
      <c r="B14" s="18" t="n">
        <v>0.582638888888889</v>
      </c>
      <c r="C14" s="19" t="n">
        <f aca="false">IF(AND(ISNUMBER(A14),ISNUMBER(B14)),ROUND((B14-A14)*1440,0),"")</f>
        <v>29</v>
      </c>
      <c r="D14" s="20" t="s">
        <v>2</v>
      </c>
      <c r="E14" s="21" t="s">
        <v>327</v>
      </c>
      <c r="F14" s="28"/>
      <c r="G14" s="28"/>
    </row>
    <row r="15" customFormat="false" ht="29.85" hidden="false" customHeight="false" outlineLevel="0" collapsed="false">
      <c r="A15" s="18" t="n">
        <v>0.582638888888889</v>
      </c>
      <c r="B15" s="18" t="n">
        <v>0.586805555555556</v>
      </c>
      <c r="C15" s="19" t="n">
        <f aca="false">IF(AND(ISNUMBER(A15),ISNUMBER(B15)),ROUND((B15-A15)*1440,0),"")</f>
        <v>6</v>
      </c>
      <c r="D15" s="20" t="s">
        <v>2</v>
      </c>
      <c r="E15" s="21" t="s">
        <v>328</v>
      </c>
      <c r="F15" s="21" t="s">
        <v>329</v>
      </c>
      <c r="G15" s="28" t="s">
        <v>330</v>
      </c>
    </row>
    <row r="16" customFormat="false" ht="15" hidden="false" customHeight="false" outlineLevel="0" collapsed="false">
      <c r="A16" s="18" t="n">
        <v>0.586805555555556</v>
      </c>
      <c r="B16" s="18" t="n">
        <v>0.597222222222222</v>
      </c>
      <c r="C16" s="19" t="n">
        <f aca="false">IF(AND(ISNUMBER(A16),ISNUMBER(B16)),ROUND((B16-A16)*1440,0),"")</f>
        <v>15</v>
      </c>
      <c r="D16" s="20" t="s">
        <v>2</v>
      </c>
      <c r="E16" s="21" t="s">
        <v>331</v>
      </c>
      <c r="F16" s="28" t="s">
        <v>332</v>
      </c>
      <c r="G16" s="28"/>
    </row>
    <row r="17" customFormat="false" ht="15" hidden="false" customHeight="false" outlineLevel="0" collapsed="false">
      <c r="A17" s="24" t="n">
        <v>0.597222222222222</v>
      </c>
      <c r="B17" s="24" t="n">
        <v>0.680555555555556</v>
      </c>
      <c r="C17" s="25" t="n">
        <f aca="false">IF(AND(ISNUMBER(A17),ISNUMBER(B17)),ROUND((B17-A17)*1440,0),"")</f>
        <v>120</v>
      </c>
      <c r="D17" s="26" t="s">
        <v>5</v>
      </c>
      <c r="E17" s="27" t="s">
        <v>333</v>
      </c>
      <c r="F17" s="27" t="s">
        <v>33</v>
      </c>
      <c r="G17" s="29"/>
    </row>
    <row r="18" customFormat="false" ht="15" hidden="false" customHeight="false" outlineLevel="0" collapsed="false">
      <c r="A18" s="18" t="n">
        <v>0.680555555555556</v>
      </c>
      <c r="B18" s="18" t="n">
        <v>0.791666666666667</v>
      </c>
      <c r="C18" s="19" t="n">
        <f aca="false">IF(AND(ISNUMBER(A18),ISNUMBER(B18)),ROUND((B18-A18)*1440,0),"")</f>
        <v>160</v>
      </c>
      <c r="D18" s="20" t="s">
        <v>2</v>
      </c>
      <c r="E18" s="21" t="s">
        <v>29</v>
      </c>
      <c r="F18" s="28" t="s">
        <v>334</v>
      </c>
      <c r="G18" s="21" t="s">
        <v>335</v>
      </c>
    </row>
    <row r="19" customFormat="false" ht="15" hidden="false" customHeight="false" outlineLevel="0" collapsed="false">
      <c r="A19" s="22"/>
      <c r="B19" s="22"/>
      <c r="C19" s="25" t="str">
        <f aca="false">IF(AND(ISNUMBER(A19),ISNUMBER(B19)),ROUND((B19-A19)*1440,0),"")</f>
        <v/>
      </c>
      <c r="D19" s="26" t="s">
        <v>5</v>
      </c>
      <c r="E19" s="27" t="s">
        <v>32</v>
      </c>
      <c r="F19" s="27" t="s">
        <v>336</v>
      </c>
      <c r="G19" s="29"/>
    </row>
    <row r="20" customFormat="false" ht="15" hidden="false" customHeight="false" outlineLevel="0" collapsed="false">
      <c r="A20" s="15"/>
      <c r="B20" s="15"/>
      <c r="C20" s="19" t="str">
        <f aca="false">IF(AND(ISNUMBER(A20),ISNUMBER(B20)),ROUND((B20-A20)*1440,0),"")</f>
        <v/>
      </c>
      <c r="D20" s="20" t="s">
        <v>2</v>
      </c>
      <c r="E20" s="21" t="s">
        <v>23</v>
      </c>
      <c r="F20" s="28"/>
      <c r="G20" s="28"/>
    </row>
    <row r="21" customFormat="false" ht="15" hidden="false" customHeight="false" outlineLevel="0" collapsed="false">
      <c r="A21" s="30"/>
      <c r="B21" s="30"/>
      <c r="C21" s="33" t="str">
        <f aca="false">IF(AND(ISNUMBER(A21),ISNUMBER(B21)),ROUND((B21-A21)*1440,0),"")</f>
        <v/>
      </c>
      <c r="D21" s="31" t="s">
        <v>6</v>
      </c>
      <c r="E21" s="35"/>
      <c r="F21" s="34" t="s">
        <v>337</v>
      </c>
      <c r="G21" s="3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A0E0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24"/>
  </cols>
  <sheetData>
    <row r="1" customFormat="false" ht="24" hidden="false" customHeight="true" outlineLevel="0" collapsed="false">
      <c r="A1" s="57" t="s">
        <v>346</v>
      </c>
      <c r="B1" s="57"/>
      <c r="C1" s="57"/>
      <c r="D1" s="57"/>
      <c r="E1" s="57"/>
      <c r="F1" s="57"/>
      <c r="G1" s="57"/>
      <c r="H1" s="57"/>
    </row>
    <row r="2" customFormat="false" ht="15" hidden="false" customHeight="false" outlineLevel="0" collapsed="false">
      <c r="A2" s="9"/>
      <c r="B2" s="58" t="s">
        <v>347</v>
      </c>
      <c r="C2" s="58" t="s">
        <v>348</v>
      </c>
      <c r="D2" s="58" t="s">
        <v>349</v>
      </c>
      <c r="E2" s="58" t="s">
        <v>350</v>
      </c>
      <c r="F2" s="58" t="s">
        <v>351</v>
      </c>
      <c r="G2" s="58" t="s">
        <v>352</v>
      </c>
      <c r="H2" s="58" t="s">
        <v>353</v>
      </c>
    </row>
    <row r="3" customFormat="false" ht="15" hidden="false" customHeight="false" outlineLevel="0" collapsed="false">
      <c r="A3" s="59"/>
      <c r="B3" s="59" t="s">
        <v>354</v>
      </c>
      <c r="C3" s="59" t="s">
        <v>355</v>
      </c>
      <c r="D3" s="59" t="s">
        <v>356</v>
      </c>
      <c r="E3" s="59" t="s">
        <v>357</v>
      </c>
      <c r="F3" s="59" t="s">
        <v>358</v>
      </c>
      <c r="G3" s="59" t="s">
        <v>359</v>
      </c>
      <c r="H3" s="59" t="s">
        <v>360</v>
      </c>
    </row>
    <row r="4" customFormat="false" ht="15" hidden="false" customHeight="false" outlineLevel="0" collapsed="false">
      <c r="A4" s="59"/>
      <c r="B4" s="60" t="s">
        <v>361</v>
      </c>
      <c r="C4" s="60" t="s">
        <v>362</v>
      </c>
      <c r="D4" s="60" t="s">
        <v>363</v>
      </c>
      <c r="E4" s="60" t="s">
        <v>364</v>
      </c>
      <c r="F4" s="60" t="s">
        <v>365</v>
      </c>
      <c r="G4" s="60" t="s">
        <v>366</v>
      </c>
      <c r="H4" s="60" t="s">
        <v>367</v>
      </c>
    </row>
    <row r="5" customFormat="false" ht="15" hidden="false" customHeight="false" outlineLevel="0" collapsed="false">
      <c r="A5" s="61" t="s">
        <v>368</v>
      </c>
      <c r="B5" s="34" t="s">
        <v>369</v>
      </c>
      <c r="C5" s="34" t="s">
        <v>370</v>
      </c>
      <c r="D5" s="62" t="s">
        <v>371</v>
      </c>
      <c r="E5" s="34" t="s">
        <v>372</v>
      </c>
      <c r="F5" s="34" t="s">
        <v>372</v>
      </c>
      <c r="G5" s="34" t="s">
        <v>373</v>
      </c>
      <c r="H5" s="34" t="s">
        <v>374</v>
      </c>
    </row>
    <row r="6" customFormat="false" ht="15" hidden="false" customHeight="false" outlineLevel="0" collapsed="false">
      <c r="A6" s="61" t="s">
        <v>375</v>
      </c>
      <c r="B6" s="34" t="s">
        <v>376</v>
      </c>
      <c r="C6" s="34" t="s">
        <v>377</v>
      </c>
      <c r="D6" s="62" t="s">
        <v>371</v>
      </c>
      <c r="E6" s="34" t="s">
        <v>378</v>
      </c>
      <c r="F6" s="34" t="s">
        <v>379</v>
      </c>
      <c r="G6" s="34" t="s">
        <v>380</v>
      </c>
      <c r="H6" s="34" t="s">
        <v>381</v>
      </c>
    </row>
    <row r="7" customFormat="false" ht="29.85" hidden="false" customHeight="false" outlineLevel="0" collapsed="false">
      <c r="A7" s="61" t="s">
        <v>382</v>
      </c>
      <c r="B7" s="35" t="s">
        <v>383</v>
      </c>
      <c r="C7" s="34" t="s">
        <v>95</v>
      </c>
      <c r="D7" s="62" t="s">
        <v>371</v>
      </c>
      <c r="E7" s="35" t="s">
        <v>180</v>
      </c>
      <c r="F7" s="34" t="s">
        <v>224</v>
      </c>
      <c r="G7" s="35" t="s">
        <v>280</v>
      </c>
      <c r="H7" s="35" t="s">
        <v>384</v>
      </c>
    </row>
    <row r="8" customFormat="false" ht="15" hidden="false" customHeight="false" outlineLevel="0" collapsed="false">
      <c r="A8" s="61" t="s">
        <v>385</v>
      </c>
      <c r="B8" s="34" t="s">
        <v>386</v>
      </c>
      <c r="C8" s="34" t="s">
        <v>387</v>
      </c>
      <c r="D8" s="62" t="s">
        <v>371</v>
      </c>
      <c r="E8" s="34" t="s">
        <v>387</v>
      </c>
      <c r="F8" s="34" t="s">
        <v>388</v>
      </c>
      <c r="G8" s="34" t="s">
        <v>389</v>
      </c>
      <c r="H8" s="34" t="s">
        <v>390</v>
      </c>
    </row>
    <row r="9" customFormat="false" ht="15" hidden="false" customHeight="false" outlineLevel="0" collapsed="false">
      <c r="A9" s="61" t="s">
        <v>391</v>
      </c>
      <c r="B9" s="34" t="s">
        <v>62</v>
      </c>
      <c r="C9" s="34" t="s">
        <v>392</v>
      </c>
      <c r="D9" s="62" t="s">
        <v>371</v>
      </c>
      <c r="E9" s="34" t="s">
        <v>393</v>
      </c>
      <c r="F9" s="34" t="s">
        <v>62</v>
      </c>
      <c r="G9" s="34" t="s">
        <v>394</v>
      </c>
      <c r="H9" s="34" t="s">
        <v>62</v>
      </c>
    </row>
    <row r="10" customFormat="false" ht="15" hidden="false" customHeight="false" outlineLevel="0" collapsed="false">
      <c r="A10" s="61" t="s">
        <v>395</v>
      </c>
      <c r="B10" s="35"/>
      <c r="C10" s="34" t="s">
        <v>396</v>
      </c>
      <c r="D10" s="62" t="s">
        <v>371</v>
      </c>
      <c r="E10" s="35"/>
      <c r="F10" s="34" t="s">
        <v>397</v>
      </c>
      <c r="G10" s="35"/>
      <c r="H10" s="35"/>
    </row>
    <row r="11" customFormat="false" ht="15" hidden="false" customHeight="false" outlineLevel="0" collapsed="false">
      <c r="A11" s="61" t="s">
        <v>398</v>
      </c>
      <c r="B11" s="35" t="s">
        <v>399</v>
      </c>
      <c r="C11" s="35" t="s">
        <v>399</v>
      </c>
      <c r="D11" s="62" t="s">
        <v>371</v>
      </c>
      <c r="E11" s="35" t="s">
        <v>400</v>
      </c>
      <c r="F11" s="35" t="s">
        <v>401</v>
      </c>
      <c r="G11" s="35" t="s">
        <v>402</v>
      </c>
      <c r="H11" s="35" t="s">
        <v>403</v>
      </c>
    </row>
    <row r="12" customFormat="false" ht="15" hidden="false" customHeight="false" outlineLevel="0" collapsed="false">
      <c r="A12" s="61" t="s">
        <v>404</v>
      </c>
      <c r="B12" s="63" t="n">
        <v>4750</v>
      </c>
      <c r="C12" s="63" t="n">
        <v>8891</v>
      </c>
      <c r="D12" s="62" t="s">
        <v>371</v>
      </c>
      <c r="E12" s="63" t="n">
        <v>4815</v>
      </c>
      <c r="F12" s="63" t="n">
        <v>10477</v>
      </c>
      <c r="G12" s="63" t="n">
        <v>3449</v>
      </c>
      <c r="H12" s="63" t="n">
        <v>4437</v>
      </c>
    </row>
    <row r="13" customFormat="false" ht="15" hidden="false" customHeight="false" outlineLevel="0" collapsed="false">
      <c r="A13" s="61" t="s">
        <v>405</v>
      </c>
      <c r="B13" s="35" t="s">
        <v>406</v>
      </c>
      <c r="C13" s="35" t="s">
        <v>407</v>
      </c>
      <c r="D13" s="62" t="s">
        <v>371</v>
      </c>
      <c r="E13" s="35" t="s">
        <v>406</v>
      </c>
      <c r="F13" s="35" t="s">
        <v>407</v>
      </c>
      <c r="G13" s="35" t="s">
        <v>407</v>
      </c>
      <c r="H13" s="35" t="s">
        <v>406</v>
      </c>
    </row>
    <row r="14" customFormat="false" ht="15" hidden="false" customHeight="false" outlineLevel="0" collapsed="false">
      <c r="A14" s="61" t="s">
        <v>408</v>
      </c>
      <c r="B14" s="35" t="s">
        <v>409</v>
      </c>
      <c r="C14" s="35" t="s">
        <v>409</v>
      </c>
      <c r="D14" s="62" t="s">
        <v>371</v>
      </c>
      <c r="E14" s="35" t="s">
        <v>409</v>
      </c>
      <c r="F14" s="35" t="s">
        <v>410</v>
      </c>
      <c r="G14" s="35" t="s">
        <v>410</v>
      </c>
      <c r="H14" s="35" t="s">
        <v>409</v>
      </c>
    </row>
    <row r="15" customFormat="false" ht="15" hidden="false" customHeight="false" outlineLevel="0" collapsed="false">
      <c r="A15" s="64" t="s">
        <v>411</v>
      </c>
      <c r="B15" s="65" t="n">
        <f aca="false">SUM(B12:H12)</f>
        <v>36819</v>
      </c>
      <c r="C15" s="66" t="s">
        <v>412</v>
      </c>
      <c r="D15" s="67"/>
      <c r="E15" s="67"/>
      <c r="F15" s="67"/>
      <c r="G15" s="67"/>
      <c r="H15" s="6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24"/>
  </cols>
  <sheetData>
    <row r="1" customFormat="false" ht="24" hidden="false" customHeight="true" outlineLevel="0" collapsed="false">
      <c r="A1" s="57" t="s">
        <v>413</v>
      </c>
      <c r="B1" s="57"/>
      <c r="C1" s="57"/>
      <c r="D1" s="57"/>
      <c r="E1" s="57"/>
      <c r="F1" s="57"/>
      <c r="G1" s="57"/>
      <c r="H1" s="57"/>
      <c r="I1" s="57"/>
    </row>
    <row r="2" customFormat="false" ht="15" hidden="false" customHeight="false" outlineLevel="0" collapsed="false">
      <c r="A2" s="9"/>
      <c r="B2" s="58" t="s">
        <v>347</v>
      </c>
      <c r="C2" s="58" t="s">
        <v>348</v>
      </c>
      <c r="D2" s="58" t="s">
        <v>349</v>
      </c>
      <c r="E2" s="58" t="s">
        <v>350</v>
      </c>
      <c r="F2" s="58" t="s">
        <v>351</v>
      </c>
      <c r="G2" s="58" t="s">
        <v>352</v>
      </c>
      <c r="H2" s="58" t="s">
        <v>353</v>
      </c>
      <c r="I2" s="58" t="s">
        <v>414</v>
      </c>
    </row>
    <row r="3" customFormat="false" ht="15" hidden="false" customHeight="false" outlineLevel="0" collapsed="false">
      <c r="A3" s="59"/>
      <c r="B3" s="59" t="s">
        <v>354</v>
      </c>
      <c r="C3" s="59" t="s">
        <v>355</v>
      </c>
      <c r="D3" s="59" t="s">
        <v>356</v>
      </c>
      <c r="E3" s="59" t="s">
        <v>357</v>
      </c>
      <c r="F3" s="59" t="s">
        <v>358</v>
      </c>
      <c r="G3" s="59" t="s">
        <v>359</v>
      </c>
      <c r="H3" s="59" t="s">
        <v>360</v>
      </c>
      <c r="I3" s="59" t="s">
        <v>415</v>
      </c>
    </row>
    <row r="4" customFormat="false" ht="15" hidden="false" customHeight="false" outlineLevel="0" collapsed="false">
      <c r="A4" s="59"/>
      <c r="B4" s="60" t="s">
        <v>361</v>
      </c>
      <c r="C4" s="60" t="s">
        <v>362</v>
      </c>
      <c r="D4" s="60" t="s">
        <v>363</v>
      </c>
      <c r="E4" s="60" t="s">
        <v>364</v>
      </c>
      <c r="F4" s="60" t="s">
        <v>365</v>
      </c>
      <c r="G4" s="60" t="s">
        <v>366</v>
      </c>
      <c r="H4" s="60" t="s">
        <v>367</v>
      </c>
      <c r="I4" s="60" t="s">
        <v>361</v>
      </c>
    </row>
    <row r="5" customFormat="false" ht="15" hidden="false" customHeight="false" outlineLevel="0" collapsed="false">
      <c r="A5" s="61" t="s">
        <v>385</v>
      </c>
      <c r="B5" s="34" t="s">
        <v>416</v>
      </c>
      <c r="C5" s="34" t="s">
        <v>417</v>
      </c>
      <c r="D5" s="34" t="s">
        <v>418</v>
      </c>
      <c r="E5" s="34" t="s">
        <v>419</v>
      </c>
      <c r="F5" s="34" t="s">
        <v>420</v>
      </c>
      <c r="G5" s="34" t="s">
        <v>421</v>
      </c>
      <c r="H5" s="34" t="s">
        <v>422</v>
      </c>
      <c r="I5" s="34" t="s">
        <v>423</v>
      </c>
    </row>
    <row r="6" customFormat="false" ht="15" hidden="false" customHeight="false" outlineLevel="0" collapsed="false">
      <c r="A6" s="61" t="s">
        <v>424</v>
      </c>
      <c r="B6" s="34" t="s">
        <v>425</v>
      </c>
      <c r="C6" s="34" t="s">
        <v>426</v>
      </c>
      <c r="D6" s="34" t="s">
        <v>427</v>
      </c>
      <c r="E6" s="34" t="s">
        <v>428</v>
      </c>
      <c r="F6" s="34" t="s">
        <v>429</v>
      </c>
      <c r="G6" s="34" t="s">
        <v>430</v>
      </c>
      <c r="H6" s="34" t="s">
        <v>431</v>
      </c>
      <c r="I6" s="34" t="s">
        <v>423</v>
      </c>
    </row>
    <row r="7" customFormat="false" ht="72.35" hidden="false" customHeight="false" outlineLevel="0" collapsed="false">
      <c r="A7" s="61" t="s">
        <v>432</v>
      </c>
      <c r="B7" s="35"/>
      <c r="C7" s="35"/>
      <c r="D7" s="35"/>
      <c r="E7" s="34" t="s">
        <v>433</v>
      </c>
      <c r="F7" s="35"/>
      <c r="G7" s="34" t="s">
        <v>434</v>
      </c>
      <c r="H7" s="35"/>
      <c r="I7" s="35"/>
    </row>
    <row r="8" customFormat="false" ht="15" hidden="false" customHeight="false" outlineLevel="0" collapsed="false">
      <c r="A8" s="61" t="s">
        <v>435</v>
      </c>
      <c r="B8" s="34" t="s">
        <v>436</v>
      </c>
      <c r="C8" s="34" t="s">
        <v>437</v>
      </c>
      <c r="D8" s="34" t="s">
        <v>438</v>
      </c>
      <c r="E8" s="34" t="s">
        <v>439</v>
      </c>
      <c r="F8" s="34" t="s">
        <v>439</v>
      </c>
      <c r="G8" s="34" t="s">
        <v>440</v>
      </c>
      <c r="H8" s="35" t="s">
        <v>441</v>
      </c>
      <c r="I8" s="34" t="s">
        <v>416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2026-08-22T09:51:07Z</dcterms:created>
  <dc:creator>openpyxl</dc:creator>
  <dc:description/>
  <dc:language>en-US</dc:language>
  <cp:lastModifiedBy/>
  <dcterms:modified xsi:type="dcterms:W3CDTF">2026-08-22T09:51:08Z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