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行程總覽" sheetId="1" state="visible" r:id="rId3"/>
    <sheet name="完整行程表" sheetId="2" state="visible" r:id="rId4"/>
    <sheet name="D1-0418" sheetId="3" state="visible" r:id="rId5"/>
    <sheet name="D2-0419" sheetId="4" state="visible" r:id="rId6"/>
    <sheet name="D3-0420" sheetId="5" state="visible" r:id="rId7"/>
    <sheet name="D4-0421" sheetId="6" state="visible" r:id="rId8"/>
    <sheet name="D5-0422" sheetId="7" state="visible" r:id="rId9"/>
    <sheet name="D6-0423" sheetId="8" state="visible" r:id="rId10"/>
    <sheet name="D7-0424" sheetId="9" state="visible" r:id="rId11"/>
    <sheet name="D8-0425" sheetId="10" state="visible" r:id="rId12"/>
    <sheet name="住宿總表" sheetId="11" state="visible" r:id="rId13"/>
    <sheet name="餐食總表" sheetId="12" state="visible" r:id="rId14"/>
    <sheet name="票券與費用" sheetId="13" state="visible" r:id="rId15"/>
  </sheets>
  <definedNames>
    <definedName function="false" hidden="false" localSheetId="2" name="_xlnm.Print_Titles" vbProcedure="false">'D1-0418'!$4:$4</definedName>
    <definedName function="false" hidden="false" localSheetId="3" name="_xlnm.Print_Titles" vbProcedure="false">'D2-0419'!$4:$4</definedName>
    <definedName function="false" hidden="false" localSheetId="4" name="_xlnm.Print_Titles" vbProcedure="false">'D3-0420'!$4:$4</definedName>
    <definedName function="false" hidden="false" localSheetId="5" name="_xlnm.Print_Titles" vbProcedure="false">'D4-0421'!$4:$4</definedName>
    <definedName function="false" hidden="false" localSheetId="6" name="_xlnm.Print_Titles" vbProcedure="false">'D5-0422'!$4:$4</definedName>
    <definedName function="false" hidden="false" localSheetId="7" name="_xlnm.Print_Titles" vbProcedure="false">'D6-0423'!$4:$4</definedName>
    <definedName function="false" hidden="false" localSheetId="8" name="_xlnm.Print_Titles" vbProcedure="false">'D7-0424'!$4:$4</definedName>
    <definedName function="false" hidden="false" localSheetId="9" name="_xlnm.Print_Titles" vbProcedure="false">'D8-0425'!$4:$4</definedName>
    <definedName function="false" hidden="false" localSheetId="10" name="_xlnm.Print_Titles" vbProcedure="false">住宿總表!$4:$4</definedName>
    <definedName function="false" hidden="false" localSheetId="1" name="_xlnm.Print_Titles" vbProcedure="false">完整行程表!$4:$4</definedName>
    <definedName function="false" hidden="true" localSheetId="1" name="_xlnm._FilterDatabase" vbProcedure="false">完整行程表!$A$4:$J$187</definedName>
    <definedName function="false" hidden="false" localSheetId="12" name="_xlnm.Print_Titles" vbProcedure="false">票券與費用!$4:$4</definedName>
    <definedName function="false" hidden="false" localSheetId="0" name="_xlnm.Print_Titles" vbProcedure="false">行程總覽!$4:$4</definedName>
    <definedName function="false" hidden="false" localSheetId="11" name="_xlnm.Print_Titles" vbProcedure="false">餐食總表!$4:$4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<sst xmlns="http://schemas.openxmlformats.org/spreadsheetml/2006/main" count="1647" uniqueCount="566">
  <si>
    <r>
      <rPr>
        <b val="true"/>
        <sz val="16"/>
        <color rgb="FF1F3864"/>
        <rFont val="微軟正黑體"/>
        <family val="0"/>
        <charset val="1"/>
      </rPr>
      <t xml:space="preserve">2026/04/18~25</t>
    </r>
    <r>
      <rPr>
        <b val="true"/>
        <sz val="16"/>
        <color rgb="FF1F3864"/>
        <rFont val="Noto Sans CJK SC"/>
        <family val="2"/>
      </rPr>
      <t xml:space="preserve">　東京近郊自駕　行程總覽</t>
    </r>
  </si>
  <si>
    <t xml:space="preserve">資料來源：原始「行程時間規劃」與「簡易旅遊手冊」。灰底儲存格為公式，請勿直接覆寫。</t>
  </si>
  <si>
    <t xml:space="preserve">天數</t>
  </si>
  <si>
    <t xml:space="preserve">日期</t>
  </si>
  <si>
    <t xml:space="preserve">星期</t>
  </si>
  <si>
    <t xml:space="preserve">出發時間</t>
  </si>
  <si>
    <t xml:space="preserve">結束時間</t>
  </si>
  <si>
    <t xml:space="preserve">當日主軸</t>
  </si>
  <si>
    <t xml:space="preserve">住宿地點</t>
  </si>
  <si>
    <t xml:space="preserve">主要餐食</t>
  </si>
  <si>
    <r>
      <rPr>
        <b val="true"/>
        <sz val="10"/>
        <color rgb="FF1F3864"/>
        <rFont val="Noto Sans CJK SC"/>
        <family val="2"/>
      </rPr>
      <t xml:space="preserve">第 </t>
    </r>
    <r>
      <rPr>
        <b val="true"/>
        <sz val="10"/>
        <color rgb="FF1F3864"/>
        <rFont val="微軟正黑體"/>
        <family val="0"/>
        <charset val="1"/>
      </rPr>
      <t xml:space="preserve">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</si>
  <si>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六</t>
  </si>
  <si>
    <t xml:space="preserve">桃園出發 → 成田入境取車 → 牛久大佛 → 霞浦綜合公園 → 日立海岸夕陽</t>
  </si>
  <si>
    <t xml:space="preserve">Hotel Hitachi Hills</t>
  </si>
  <si>
    <r>
      <rPr>
        <sz val="10"/>
        <color rgb="FF333333"/>
        <rFont val="Noto Sans CJK SC"/>
        <family val="2"/>
      </rPr>
      <t xml:space="preserve">飛機餐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成田機場隨便吃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中華拉麵</t>
    </r>
  </si>
  <si>
    <r>
      <rPr>
        <b val="true"/>
        <sz val="10"/>
        <color rgb="FF1F3864"/>
        <rFont val="Noto Sans CJK SC"/>
        <family val="2"/>
      </rPr>
      <t xml:space="preserve">第 </t>
    </r>
    <r>
      <rPr>
        <b val="true"/>
        <sz val="10"/>
        <color rgb="FF1F3864"/>
        <rFont val="微軟正黑體"/>
        <family val="0"/>
        <charset val="1"/>
      </rPr>
      <t xml:space="preserve">2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</si>
  <si>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日</t>
  </si>
  <si>
    <t xml:space="preserve">日立車站日出 → 神峰公園 → 御岩神社 → 龍神大吊橋 → 袋田瀑布 → 静峰故鄉公園夜櫻</t>
  </si>
  <si>
    <t xml:space="preserve">とびた荘</t>
  </si>
  <si>
    <r>
      <rPr>
        <sz val="10"/>
        <color rgb="FF333333"/>
        <rFont val="Noto Sans CJK SC"/>
        <family val="2"/>
      </rPr>
      <t xml:space="preserve">飯店自助餐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蕎麥麵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鰻魚飯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炸豬排</t>
    </r>
  </si>
  <si>
    <r>
      <rPr>
        <b val="true"/>
        <sz val="10"/>
        <color rgb="FF1F3864"/>
        <rFont val="Noto Sans CJK SC"/>
        <family val="2"/>
      </rPr>
      <t xml:space="preserve">第 </t>
    </r>
    <r>
      <rPr>
        <b val="true"/>
        <sz val="10"/>
        <color rgb="FF1F3864"/>
        <rFont val="微軟正黑體"/>
        <family val="0"/>
        <charset val="1"/>
      </rPr>
      <t xml:space="preserve">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</si>
  <si>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一</t>
  </si>
  <si>
    <t xml:space="preserve">國營常陸海濱公園粉蝶花 → 偕樂園 → 千波湖 → 水戶藝術館</t>
  </si>
  <si>
    <r>
      <rPr>
        <sz val="10"/>
        <color rgb="FF333333"/>
        <rFont val="Noto Sans CJK SC"/>
        <family val="2"/>
      </rPr>
      <t xml:space="preserve">便利商店 </t>
    </r>
    <r>
      <rPr>
        <sz val="10"/>
        <color rgb="FF333333"/>
        <rFont val="微軟正黑體"/>
        <family val="0"/>
        <charset val="1"/>
      </rPr>
      <t xml:space="preserve">7-11 / </t>
    </r>
    <r>
      <rPr>
        <sz val="10"/>
        <color rgb="FF333333"/>
        <rFont val="Noto Sans CJK SC"/>
        <family val="2"/>
      </rPr>
      <t xml:space="preserve">咖啡廳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鮟鱇魚火鍋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有訂位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</si>
  <si>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b val="true"/>
        <sz val="10"/>
        <color rgb="FF1F3864"/>
        <rFont val="Noto Sans CJK SC"/>
        <family val="2"/>
      </rPr>
      <t xml:space="preserve">第 </t>
    </r>
    <r>
      <rPr>
        <b val="true"/>
        <sz val="10"/>
        <color rgb="FF1F3864"/>
        <rFont val="微軟正黑體"/>
        <family val="0"/>
        <charset val="1"/>
      </rPr>
      <t xml:space="preserve">4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</si>
  <si>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二</t>
  </si>
  <si>
    <t xml:space="preserve">神磯鳥居日出 → 笠間稻荷神社 → 笠間杜鵑花公園 → 市貝町芝櫻 → 神橋</t>
  </si>
  <si>
    <t xml:space="preserve">Dragon Inn Nikko</t>
  </si>
  <si>
    <r>
      <rPr>
        <sz val="10"/>
        <color rgb="FF333333"/>
        <rFont val="Noto Sans CJK SC"/>
        <family val="2"/>
      </rPr>
      <t xml:space="preserve">海鮮蓋飯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豆皮壽司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日式定食</t>
    </r>
  </si>
  <si>
    <r>
      <rPr>
        <b val="true"/>
        <sz val="10"/>
        <color rgb="FF1F3864"/>
        <rFont val="Noto Sans CJK SC"/>
        <family val="2"/>
      </rPr>
      <t xml:space="preserve">第 </t>
    </r>
    <r>
      <rPr>
        <b val="true"/>
        <sz val="10"/>
        <color rgb="FF1F3864"/>
        <rFont val="微軟正黑體"/>
        <family val="0"/>
        <charset val="1"/>
      </rPr>
      <t xml:space="preserve">5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</si>
  <si>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三</t>
  </si>
  <si>
    <t xml:space="preserve">明智平 → 華嚴瀑布 → 中禪寺湖遊覽船 → 半月山展望台 → 戦場ヶ原觀星</t>
  </si>
  <si>
    <r>
      <rPr>
        <sz val="10"/>
        <color rgb="FF333333"/>
        <rFont val="Noto Sans CJK SC"/>
        <family val="2"/>
      </rPr>
      <t xml:space="preserve">旅籠 </t>
    </r>
    <r>
      <rPr>
        <sz val="10"/>
        <color rgb="FF333333"/>
        <rFont val="微軟正黑體"/>
        <family val="0"/>
        <charset val="1"/>
      </rPr>
      <t xml:space="preserve">Nagomi</t>
    </r>
  </si>
  <si>
    <r>
      <rPr>
        <sz val="10"/>
        <color rgb="FF333333"/>
        <rFont val="Noto Sans CJK SC"/>
        <family val="2"/>
      </rPr>
      <t xml:space="preserve">豆乳甜甜圈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炸豬排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日式定食</t>
    </r>
  </si>
  <si>
    <r>
      <rPr>
        <b val="true"/>
        <sz val="10"/>
        <color rgb="FF1F3864"/>
        <rFont val="Noto Sans CJK SC"/>
        <family val="2"/>
      </rPr>
      <t xml:space="preserve">第 </t>
    </r>
    <r>
      <rPr>
        <b val="true"/>
        <sz val="10"/>
        <color rgb="FF1F3864"/>
        <rFont val="微軟正黑體"/>
        <family val="0"/>
        <charset val="1"/>
      </rPr>
      <t xml:space="preserve">6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</si>
  <si>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四</t>
  </si>
  <si>
    <t xml:space="preserve">日光二社一寺（東照宮、輪王寺、二荒山）→ 日光街道美食 → 足利花卉公園紫藤</t>
  </si>
  <si>
    <r>
      <rPr>
        <sz val="10"/>
        <color rgb="FF333333"/>
        <rFont val="微軟正黑體"/>
        <family val="0"/>
        <charset val="1"/>
      </rPr>
      <t xml:space="preserve">HOTEL R9 The Yard </t>
    </r>
    <r>
      <rPr>
        <sz val="10"/>
        <color rgb="FF333333"/>
        <rFont val="Noto Sans CJK SC"/>
        <family val="2"/>
      </rPr>
      <t xml:space="preserve">足利福富</t>
    </r>
  </si>
  <si>
    <r>
      <rPr>
        <sz val="10"/>
        <color rgb="FF333333"/>
        <rFont val="Noto Sans CJK SC"/>
        <family val="2"/>
      </rPr>
      <t xml:space="preserve">飯店早餐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超市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拉麵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青竹手工揉麵</t>
    </r>
  </si>
  <si>
    <r>
      <rPr>
        <b val="true"/>
        <sz val="10"/>
        <color rgb="FF1F3864"/>
        <rFont val="Noto Sans CJK SC"/>
        <family val="2"/>
      </rPr>
      <t xml:space="preserve">第 </t>
    </r>
    <r>
      <rPr>
        <b val="true"/>
        <sz val="10"/>
        <color rgb="FF1F3864"/>
        <rFont val="微軟正黑體"/>
        <family val="0"/>
        <charset val="1"/>
      </rPr>
      <t xml:space="preserve">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</si>
  <si>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五</t>
  </si>
  <si>
    <t xml:space="preserve">足利七色鳥居 → 佐野厄除大師 → 館林杜鵑花岡公園 → 還車 → 永旺夢樂城</t>
  </si>
  <si>
    <t xml:space="preserve">Comfort Hotel Narita</t>
  </si>
  <si>
    <r>
      <rPr>
        <sz val="10"/>
        <color rgb="FF333333"/>
        <rFont val="Noto Sans CJK SC"/>
        <family val="2"/>
      </rPr>
      <t xml:space="preserve">飯店冷凍微波食品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超寬烏龍麵 </t>
    </r>
    <r>
      <rPr>
        <sz val="10"/>
        <color rgb="FF333333"/>
        <rFont val="微軟正黑體"/>
        <family val="0"/>
        <charset val="1"/>
      </rPr>
      <t xml:space="preserve">/ Outlet</t>
    </r>
    <r>
      <rPr>
        <sz val="10"/>
        <color rgb="FF333333"/>
        <rFont val="Noto Sans CJK SC"/>
        <family val="2"/>
      </rPr>
      <t xml:space="preserve">隨便找</t>
    </r>
  </si>
  <si>
    <r>
      <rPr>
        <b val="true"/>
        <sz val="10"/>
        <color rgb="FF1F3864"/>
        <rFont val="Noto Sans CJK SC"/>
        <family val="2"/>
      </rPr>
      <t xml:space="preserve">第 </t>
    </r>
    <r>
      <rPr>
        <b val="true"/>
        <sz val="10"/>
        <color rgb="FF1F3864"/>
        <rFont val="微軟正黑體"/>
        <family val="0"/>
        <charset val="1"/>
      </rPr>
      <t xml:space="preserve">8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</si>
  <si>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成田山新勝寺 → 表參道鰻魚飯 → 成田機場 → 返台</t>
  </si>
  <si>
    <t xml:space="preserve">（當日返台）</t>
  </si>
  <si>
    <r>
      <rPr>
        <sz val="10"/>
        <color rgb="FF333333"/>
        <rFont val="Noto Sans CJK SC"/>
        <family val="2"/>
      </rPr>
      <t xml:space="preserve">鰻魚飯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鰻魚飯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飛機餐</t>
    </r>
  </si>
  <si>
    <t xml:space="preserve">欄位說明</t>
  </si>
  <si>
    <t xml:space="preserve">出發／結束時間</t>
  </si>
  <si>
    <t xml:space="preserve">取自該日分頁中最早的開始時間與最晚的結束時間</t>
  </si>
  <si>
    <t xml:space="preserve">黃底儲存格</t>
  </si>
  <si>
    <t xml:space="preserve">需要你自行填寫的欄位（見「票券與費用」分頁）</t>
  </si>
  <si>
    <r>
      <rPr>
        <b val="true"/>
        <sz val="9"/>
        <color rgb="FF333333"/>
        <rFont val="Noto Sans CJK SC"/>
        <family val="2"/>
      </rPr>
      <t xml:space="preserve">分頁 </t>
    </r>
    <r>
      <rPr>
        <b val="true"/>
        <sz val="9"/>
        <color rgb="FF333333"/>
        <rFont val="微軟正黑體"/>
        <family val="0"/>
        <charset val="1"/>
      </rPr>
      <t xml:space="preserve">D1~D8</t>
    </r>
  </si>
  <si>
    <t xml:space="preserve">每日逐項時刻表，含類別色塊與時長公式</t>
  </si>
  <si>
    <t xml:space="preserve">完整行程表</t>
  </si>
  <si>
    <t xml:space="preserve">八天全部行程合併為一張可篩選的清單</t>
  </si>
  <si>
    <t xml:space="preserve">完整行程表（八天合併，可篩選）</t>
  </si>
  <si>
    <r>
      <rPr>
        <sz val="9"/>
        <color rgb="FF808080"/>
        <rFont val="Noto Sans CJK SC"/>
        <family val="2"/>
      </rPr>
      <t xml:space="preserve">「時長」為公式：</t>
    </r>
    <r>
      <rPr>
        <sz val="9"/>
        <color rgb="FF808080"/>
        <rFont val="微軟正黑體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結束時間 − 開始時間</t>
    </r>
    <r>
      <rPr>
        <sz val="9"/>
        <color rgb="FF808080"/>
        <rFont val="微軟正黑體"/>
        <family val="0"/>
        <charset val="1"/>
      </rPr>
      <t xml:space="preserve">) × 1440</t>
    </r>
    <r>
      <rPr>
        <sz val="9"/>
        <color rgb="FF808080"/>
        <rFont val="Noto Sans CJK SC"/>
        <family val="2"/>
      </rPr>
      <t xml:space="preserve">，單位為分鐘。同一列時間重疊者（例如第</t>
    </r>
    <r>
      <rPr>
        <sz val="9"/>
        <color rgb="FF808080"/>
        <rFont val="微軟正黑體"/>
        <family val="0"/>
        <charset val="1"/>
      </rPr>
      <t xml:space="preserve">7</t>
    </r>
    <r>
      <rPr>
        <sz val="9"/>
        <color rgb="FF808080"/>
        <rFont val="Noto Sans CJK SC"/>
        <family val="2"/>
      </rPr>
      <t xml:space="preserve">天 </t>
    </r>
    <r>
      <rPr>
        <sz val="9"/>
        <color rgb="FF808080"/>
        <rFont val="微軟正黑體"/>
        <family val="0"/>
        <charset val="1"/>
      </rPr>
      <t xml:space="preserve">Check-In </t>
    </r>
    <r>
      <rPr>
        <sz val="9"/>
        <color rgb="FF808080"/>
        <rFont val="Noto Sans CJK SC"/>
        <family val="2"/>
      </rPr>
      <t xml:space="preserve">與還車同時進行）請勿加總。</t>
    </r>
  </si>
  <si>
    <t xml:space="preserve">開始</t>
  </si>
  <si>
    <t xml:space="preserve">結束</t>
  </si>
  <si>
    <r>
      <rPr>
        <b val="true"/>
        <sz val="11"/>
        <color rgb="FFFFFFFF"/>
        <rFont val="Noto Sans CJK SC"/>
        <family val="2"/>
      </rPr>
      <t xml:space="preserve">時長</t>
    </r>
    <r>
      <rPr>
        <b val="true"/>
        <sz val="11"/>
        <color rgb="FFFFFFFF"/>
        <rFont val="微軟正黑體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分</t>
    </r>
    <r>
      <rPr>
        <b val="true"/>
        <sz val="11"/>
        <color rgb="FFFFFFFF"/>
        <rFont val="微軟正黑體"/>
        <family val="0"/>
        <charset val="1"/>
      </rPr>
      <t xml:space="preserve">)</t>
    </r>
  </si>
  <si>
    <t xml:space="preserve">類別</t>
  </si>
  <si>
    <t xml:space="preserve">事件</t>
  </si>
  <si>
    <t xml:space="preserve">地點</t>
  </si>
  <si>
    <t xml:space="preserve">備註</t>
  </si>
  <si>
    <t xml:space="preserve">住宿</t>
  </si>
  <si>
    <t xml:space="preserve">起床</t>
  </si>
  <si>
    <t xml:space="preserve">家</t>
  </si>
  <si>
    <t xml:space="preserve">移動</t>
  </si>
  <si>
    <t xml:space="preserve">車程</t>
  </si>
  <si>
    <r>
      <rPr>
        <sz val="10"/>
        <color rgb="FF333333"/>
        <rFont val="Noto Sans CJK SC"/>
        <family val="2"/>
      </rPr>
      <t xml:space="preserve">宜蘭 </t>
    </r>
    <r>
      <rPr>
        <sz val="10"/>
        <color rgb="FF333333"/>
        <rFont val="微軟正黑體"/>
        <family val="0"/>
        <charset val="1"/>
      </rPr>
      <t xml:space="preserve">05:00 </t>
    </r>
    <r>
      <rPr>
        <sz val="10"/>
        <color rgb="FF333333"/>
        <rFont val="Noto Sans CJK SC"/>
        <family val="2"/>
      </rPr>
      <t xml:space="preserve">出發（車程 </t>
    </r>
    <r>
      <rPr>
        <sz val="10"/>
        <color rgb="FF333333"/>
        <rFont val="微軟正黑體"/>
        <family val="0"/>
        <charset val="1"/>
      </rPr>
      <t xml:space="preserve">1:10~1:25</t>
    </r>
    <r>
      <rPr>
        <sz val="10"/>
        <color rgb="FF333333"/>
        <rFont val="Noto Sans CJK SC"/>
        <family val="2"/>
      </rPr>
      <t xml:space="preserve">）／新竹 </t>
    </r>
    <r>
      <rPr>
        <sz val="10"/>
        <color rgb="FF333333"/>
        <rFont val="微軟正黑體"/>
        <family val="0"/>
        <charset val="1"/>
      </rPr>
      <t xml:space="preserve">05:20 </t>
    </r>
    <r>
      <rPr>
        <sz val="10"/>
        <color rgb="FF333333"/>
        <rFont val="Noto Sans CJK SC"/>
        <family val="2"/>
      </rPr>
      <t xml:space="preserve">出發（車程 </t>
    </r>
    <r>
      <rPr>
        <sz val="10"/>
        <color rgb="FF333333"/>
        <rFont val="微軟正黑體"/>
        <family val="0"/>
        <charset val="1"/>
      </rPr>
      <t xml:space="preserve">45~55</t>
    </r>
    <r>
      <rPr>
        <sz val="10"/>
        <color rgb="FF333333"/>
        <rFont val="Noto Sans CJK SC"/>
        <family val="2"/>
      </rPr>
      <t xml:space="preserve">）</t>
    </r>
  </si>
  <si>
    <t xml:space="preserve">停車與接送</t>
  </si>
  <si>
    <t xml:space="preserve">其他</t>
  </si>
  <si>
    <t xml:space="preserve">報到</t>
  </si>
  <si>
    <r>
      <rPr>
        <sz val="10"/>
        <color rgb="FF333333"/>
        <rFont val="Noto Sans CJK SC"/>
        <family val="2"/>
      </rPr>
      <t xml:space="preserve">桃園機場 </t>
    </r>
    <r>
      <rPr>
        <sz val="10"/>
        <color rgb="FF333333"/>
        <rFont val="微軟正黑體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航廈 </t>
    </r>
    <r>
      <rPr>
        <sz val="10"/>
        <color rgb="FF333333"/>
        <rFont val="微軟正黑體"/>
        <family val="0"/>
        <charset val="1"/>
      </rPr>
      <t xml:space="preserve">5</t>
    </r>
    <r>
      <rPr>
        <sz val="10"/>
        <color rgb="FF333333"/>
        <rFont val="Noto Sans CJK SC"/>
        <family val="2"/>
      </rPr>
      <t xml:space="preserve">或</t>
    </r>
    <r>
      <rPr>
        <sz val="10"/>
        <color rgb="FF333333"/>
        <rFont val="微軟正黑體"/>
        <family val="0"/>
        <charset val="1"/>
      </rPr>
      <t xml:space="preserve">6</t>
    </r>
    <r>
      <rPr>
        <sz val="10"/>
        <color rgb="FF333333"/>
        <rFont val="Noto Sans CJK SC"/>
        <family val="2"/>
      </rPr>
      <t xml:space="preserve">號櫃台</t>
    </r>
  </si>
  <si>
    <r>
      <rPr>
        <sz val="10"/>
        <color rgb="FF333333"/>
        <rFont val="Noto Sans CJK SC"/>
        <family val="2"/>
      </rPr>
      <t xml:space="preserve">需現場劃機位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選</t>
    </r>
    <r>
      <rPr>
        <sz val="10"/>
        <color rgb="FF333333"/>
        <rFont val="微軟正黑體"/>
        <family val="0"/>
        <charset val="1"/>
      </rPr>
      <t xml:space="preserve">A</t>
    </r>
    <r>
      <rPr>
        <sz val="10"/>
        <color rgb="FF333333"/>
        <rFont val="Noto Sans CJK SC"/>
        <family val="2"/>
      </rPr>
      <t xml:space="preserve">側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</si>
  <si>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飛行</t>
  </si>
  <si>
    <t xml:space="preserve">JX800 (A350-1000)</t>
  </si>
  <si>
    <r>
      <rPr>
        <sz val="10"/>
        <color rgb="FF333333"/>
        <rFont val="Noto Sans CJK SC"/>
        <family val="2"/>
      </rPr>
      <t xml:space="preserve">飛行時間：</t>
    </r>
    <r>
      <rPr>
        <sz val="10"/>
        <color rgb="FF333333"/>
        <rFont val="微軟正黑體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小時</t>
    </r>
    <r>
      <rPr>
        <sz val="10"/>
        <color rgb="FF333333"/>
        <rFont val="微軟正黑體"/>
        <family val="0"/>
        <charset val="1"/>
      </rPr>
      <t xml:space="preserve">25</t>
    </r>
    <r>
      <rPr>
        <sz val="10"/>
        <color rgb="FF333333"/>
        <rFont val="Noto Sans CJK SC"/>
        <family val="2"/>
      </rPr>
      <t xml:space="preserve">分鐘</t>
    </r>
  </si>
  <si>
    <t xml:space="preserve">景點</t>
  </si>
  <si>
    <t xml:space="preserve">下機拿行李出關</t>
  </si>
  <si>
    <r>
      <rPr>
        <sz val="10"/>
        <color rgb="FF333333"/>
        <rFont val="Noto Sans CJK SC"/>
        <family val="2"/>
      </rPr>
      <t xml:space="preserve">成田機場 </t>
    </r>
    <r>
      <rPr>
        <sz val="10"/>
        <color rgb="FF333333"/>
        <rFont val="微軟正黑體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航廈</t>
    </r>
  </si>
  <si>
    <t xml:space="preserve">在機場隨便買點東西吃</t>
  </si>
  <si>
    <t xml:space="preserve">租車櫃台報到</t>
  </si>
  <si>
    <r>
      <rPr>
        <sz val="10"/>
        <color rgb="FF333333"/>
        <rFont val="Noto Sans CJK SC"/>
        <family val="2"/>
      </rPr>
      <t xml:space="preserve">成田機場 </t>
    </r>
    <r>
      <rPr>
        <sz val="10"/>
        <color rgb="FF333333"/>
        <rFont val="微軟正黑體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航廈 </t>
    </r>
    <r>
      <rPr>
        <sz val="10"/>
        <color rgb="FF333333"/>
        <rFont val="微軟正黑體"/>
        <family val="0"/>
        <charset val="1"/>
      </rPr>
      <t xml:space="preserve">TOYOTA</t>
    </r>
    <r>
      <rPr>
        <sz val="10"/>
        <color rgb="FF333333"/>
        <rFont val="Noto Sans CJK SC"/>
        <family val="2"/>
      </rPr>
      <t xml:space="preserve">租車</t>
    </r>
  </si>
  <si>
    <t xml:space="preserve">搭接駁車</t>
  </si>
  <si>
    <r>
      <rPr>
        <sz val="10"/>
        <color rgb="FF333333"/>
        <rFont val="Noto Sans CJK SC"/>
        <family val="2"/>
      </rPr>
      <t xml:space="preserve">成田機場 </t>
    </r>
    <r>
      <rPr>
        <sz val="10"/>
        <color rgb="FF333333"/>
        <rFont val="微軟正黑體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航廈 第</t>
    </r>
    <r>
      <rPr>
        <sz val="10"/>
        <color rgb="FF333333"/>
        <rFont val="微軟正黑體"/>
        <family val="0"/>
        <charset val="1"/>
      </rPr>
      <t xml:space="preserve">25</t>
    </r>
    <r>
      <rPr>
        <sz val="10"/>
        <color rgb="FF333333"/>
        <rFont val="Noto Sans CJK SC"/>
        <family val="2"/>
      </rPr>
      <t xml:space="preserve">號公車站牌</t>
    </r>
  </si>
  <si>
    <t xml:space="preserve">取租車</t>
  </si>
  <si>
    <r>
      <rPr>
        <sz val="10"/>
        <color rgb="FF333333"/>
        <rFont val="微軟正黑體"/>
        <family val="0"/>
        <charset val="1"/>
      </rPr>
      <t xml:space="preserve">TOYOTA</t>
    </r>
    <r>
      <rPr>
        <sz val="10"/>
        <color rgb="FF333333"/>
        <rFont val="Noto Sans CJK SC"/>
        <family val="2"/>
      </rPr>
      <t xml:space="preserve">租車 成田空港店</t>
    </r>
  </si>
  <si>
    <r>
      <rPr>
        <sz val="10"/>
        <color rgb="FF333333"/>
        <rFont val="Noto Sans CJK SC"/>
        <family val="2"/>
      </rPr>
      <t xml:space="preserve">駐車場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牛久大仏</t>
    </r>
    <r>
      <rPr>
        <sz val="10"/>
        <color rgb="FF333333"/>
        <rFont val="微軟正黑體"/>
        <family val="0"/>
        <charset val="1"/>
      </rPr>
      <t xml:space="preserve">) (</t>
    </r>
    <r>
      <rPr>
        <sz val="10"/>
        <color rgb="FF333333"/>
        <rFont val="Noto Sans CJK SC"/>
        <family val="2"/>
      </rPr>
      <t xml:space="preserve">免費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</si>
  <si>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拍拍照</t>
  </si>
  <si>
    <t xml:space="preserve">牛久大佛</t>
  </si>
  <si>
    <r>
      <rPr>
        <sz val="10"/>
        <color rgb="FF333333"/>
        <rFont val="Noto Sans CJK SC"/>
        <family val="2"/>
      </rPr>
      <t xml:space="preserve">不進去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僅參觀庭園 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円、含大佛胎內參觀的參拜費 </t>
    </r>
    <r>
      <rPr>
        <sz val="10"/>
        <color rgb="FF333333"/>
        <rFont val="微軟正黑體"/>
        <family val="0"/>
        <charset val="1"/>
      </rPr>
      <t xml:space="preserve">800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</si>
  <si>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附近免費停車場</t>
  </si>
  <si>
    <t xml:space="preserve">看風車與鬱金香</t>
  </si>
  <si>
    <t xml:space="preserve">霞浦綜合公園</t>
  </si>
  <si>
    <t xml:space="preserve">日立駅海岸口駐車場</t>
  </si>
  <si>
    <t xml:space="preserve">看海景、夕落</t>
  </si>
  <si>
    <t xml:space="preserve">Sea Birds Café</t>
  </si>
  <si>
    <r>
      <rPr>
        <sz val="10"/>
        <color rgb="FF333333"/>
        <rFont val="Noto Sans CJK SC"/>
        <family val="2"/>
      </rPr>
      <t xml:space="preserve">日落時間 </t>
    </r>
    <r>
      <rPr>
        <sz val="10"/>
        <color rgb="FF333333"/>
        <rFont val="微軟正黑體"/>
        <family val="0"/>
        <charset val="1"/>
      </rPr>
      <t xml:space="preserve">18:14</t>
    </r>
  </si>
  <si>
    <t xml:space="preserve">日立山飯店專用駐車場</t>
  </si>
  <si>
    <t xml:space="preserve">Check-In</t>
  </si>
  <si>
    <t xml:space="preserve">日立山飯店</t>
  </si>
  <si>
    <t xml:space="preserve">餐食</t>
  </si>
  <si>
    <r>
      <rPr>
        <sz val="10"/>
        <color rgb="FF333333"/>
        <rFont val="Noto Sans CJK SC"/>
        <family val="2"/>
      </rPr>
      <t xml:space="preserve">晚餐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中華拉麵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</si>
  <si>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麺屋 金花土</t>
  </si>
  <si>
    <r>
      <rPr>
        <sz val="10"/>
        <color rgb="FF333333"/>
        <rFont val="Noto Sans CJK SC"/>
        <family val="2"/>
      </rPr>
      <t xml:space="preserve">中華拉麵，僅現金，約 </t>
    </r>
    <r>
      <rPr>
        <sz val="10"/>
        <color rgb="FF333333"/>
        <rFont val="微軟正黑體"/>
        <family val="0"/>
        <charset val="1"/>
      </rPr>
      <t xml:space="preserve">1000-2000</t>
    </r>
    <r>
      <rPr>
        <sz val="10"/>
        <color rgb="FF333333"/>
        <rFont val="Noto Sans CJK SC"/>
        <family val="2"/>
      </rPr>
      <t xml:space="preserve">円</t>
    </r>
  </si>
  <si>
    <t xml:space="preserve">賞夜櫻</t>
  </si>
  <si>
    <t xml:space="preserve">平和通り</t>
  </si>
  <si>
    <t xml:space="preserve">可能沒有櫻花了</t>
  </si>
  <si>
    <t xml:space="preserve">休息</t>
  </si>
  <si>
    <r>
      <rPr>
        <sz val="10"/>
        <color rgb="FF333333"/>
        <rFont val="Noto Sans CJK SC"/>
        <family val="2"/>
      </rPr>
      <t xml:space="preserve">雙人</t>
    </r>
    <r>
      <rPr>
        <sz val="10"/>
        <color rgb="FF333333"/>
        <rFont val="微軟正黑體"/>
        <family val="0"/>
        <charset val="1"/>
      </rPr>
      <t xml:space="preserve">1+</t>
    </r>
    <r>
      <rPr>
        <sz val="10"/>
        <color rgb="FF333333"/>
        <rFont val="Noto Sans CJK SC"/>
        <family val="2"/>
      </rPr>
      <t xml:space="preserve">雙床</t>
    </r>
    <r>
      <rPr>
        <sz val="10"/>
        <color rgb="FF333333"/>
        <rFont val="微軟正黑體"/>
        <family val="0"/>
        <charset val="1"/>
      </rPr>
      <t xml:space="preserve">1</t>
    </r>
  </si>
  <si>
    <r>
      <rPr>
        <sz val="10"/>
        <color rgb="FF333333"/>
        <rFont val="Noto Sans CJK SC"/>
        <family val="2"/>
      </rPr>
      <t xml:space="preserve">觀賞日出 </t>
    </r>
    <r>
      <rPr>
        <sz val="10"/>
        <color rgb="FF333333"/>
        <rFont val="微軟正黑體"/>
        <family val="0"/>
        <charset val="1"/>
      </rPr>
      <t xml:space="preserve">(04:59)</t>
    </r>
  </si>
  <si>
    <t xml:space="preserve">日立車站</t>
  </si>
  <si>
    <t xml:space="preserve">內部整面玻璃看出去</t>
  </si>
  <si>
    <t xml:space="preserve">補眠</t>
  </si>
  <si>
    <r>
      <rPr>
        <sz val="10"/>
        <color rgb="FF333333"/>
        <rFont val="Noto Sans CJK SC"/>
        <family val="2"/>
      </rPr>
      <t xml:space="preserve">早餐 </t>
    </r>
    <r>
      <rPr>
        <sz val="10"/>
        <color rgb="FF333333"/>
        <rFont val="微軟正黑體"/>
        <family val="0"/>
        <charset val="1"/>
      </rPr>
      <t xml:space="preserve">(06:00-08:45)</t>
    </r>
  </si>
  <si>
    <t xml:space="preserve">飯店有附早餐</t>
  </si>
  <si>
    <r>
      <rPr>
        <sz val="10"/>
        <color rgb="FF333333"/>
        <rFont val="Noto Sans CJK SC"/>
        <family val="2"/>
      </rPr>
      <t xml:space="preserve">車程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注意公園附近單行道區域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</si>
  <si>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神峰公園 頂上停車場</t>
  </si>
  <si>
    <r>
      <rPr>
        <sz val="10"/>
        <color rgb="FF333333"/>
        <rFont val="Noto Sans CJK SC"/>
        <family val="2"/>
      </rPr>
      <t xml:space="preserve">葉櫻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殘枝綠葉</t>
    </r>
    <r>
      <rPr>
        <sz val="10"/>
        <color rgb="FF333333"/>
        <rFont val="微軟正黑體"/>
        <family val="0"/>
        <charset val="1"/>
      </rPr>
      <t xml:space="preserve">) &amp; </t>
    </r>
    <r>
      <rPr>
        <sz val="10"/>
        <color rgb="FF333333"/>
        <rFont val="Noto Sans CJK SC"/>
        <family val="2"/>
      </rPr>
      <t xml:space="preserve">頂層展望台</t>
    </r>
  </si>
  <si>
    <t xml:space="preserve">日立神峰公園</t>
  </si>
  <si>
    <r>
      <rPr>
        <sz val="10"/>
        <color rgb="FF333333"/>
        <rFont val="Noto Sans CJK SC"/>
        <family val="2"/>
      </rPr>
      <t xml:space="preserve">御岩神社 第一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二駐車場</t>
    </r>
  </si>
  <si>
    <r>
      <rPr>
        <sz val="10"/>
        <color rgb="FF333333"/>
        <rFont val="Noto Sans CJK SC"/>
        <family val="2"/>
      </rPr>
      <t xml:space="preserve">最強能量場 </t>
    </r>
    <r>
      <rPr>
        <sz val="10"/>
        <color rgb="FF333333"/>
        <rFont val="微軟正黑體"/>
        <family val="0"/>
        <charset val="1"/>
      </rPr>
      <t xml:space="preserve">&amp; 188</t>
    </r>
    <r>
      <rPr>
        <sz val="10"/>
        <color rgb="FF333333"/>
        <rFont val="Noto Sans CJK SC"/>
        <family val="2"/>
      </rPr>
      <t xml:space="preserve">尊神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御神木</t>
    </r>
    <r>
      <rPr>
        <sz val="10"/>
        <color rgb="FF333333"/>
        <rFont val="微軟正黑體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三本杉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後生車</t>
    </r>
  </si>
  <si>
    <t xml:space="preserve">御岩神社</t>
  </si>
  <si>
    <t xml:space="preserve">不爬上山</t>
  </si>
  <si>
    <r>
      <rPr>
        <sz val="10"/>
        <color rgb="FF333333"/>
        <rFont val="Noto Sans CJK SC"/>
        <family val="2"/>
      </rPr>
      <t xml:space="preserve">竜神峡 第</t>
    </r>
    <r>
      <rPr>
        <sz val="10"/>
        <color rgb="FF333333"/>
        <rFont val="微軟正黑體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駐車場</t>
    </r>
  </si>
  <si>
    <r>
      <rPr>
        <sz val="10"/>
        <color rgb="FF333333"/>
        <rFont val="Noto Sans CJK SC"/>
        <family val="2"/>
      </rPr>
      <t xml:space="preserve">吊橋漫步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看鯉魚旗祭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看高空彈跳</t>
    </r>
  </si>
  <si>
    <t xml:space="preserve">龍神大吊橋</t>
  </si>
  <si>
    <r>
      <rPr>
        <sz val="10"/>
        <color rgb="FF333333"/>
        <rFont val="Noto Sans CJK SC"/>
        <family val="2"/>
      </rPr>
      <t xml:space="preserve">通行券</t>
    </r>
    <r>
      <rPr>
        <sz val="10"/>
        <color rgb="FF333333"/>
        <rFont val="微軟正黑體"/>
        <family val="0"/>
        <charset val="1"/>
      </rPr>
      <t xml:space="preserve">320</t>
    </r>
    <r>
      <rPr>
        <sz val="10"/>
        <color rgb="FF333333"/>
        <rFont val="Noto Sans CJK SC"/>
        <family val="2"/>
      </rPr>
      <t xml:space="preserve">円，橋頭買，有吊橋餅乾</t>
    </r>
  </si>
  <si>
    <r>
      <rPr>
        <sz val="10"/>
        <color rgb="FF333333"/>
        <rFont val="Noto Sans CJK SC"/>
        <family val="2"/>
      </rPr>
      <t xml:space="preserve">袋田滝本町営第一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二無料駐車場</t>
    </r>
  </si>
  <si>
    <r>
      <rPr>
        <sz val="10"/>
        <color rgb="FF333333"/>
        <rFont val="Noto Sans CJK SC"/>
        <family val="2"/>
      </rPr>
      <t xml:space="preserve">午餐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蕎麥麵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</si>
  <si>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Takimoto</t>
  </si>
  <si>
    <r>
      <rPr>
        <sz val="10"/>
        <color rgb="FF333333"/>
        <rFont val="Noto Sans CJK SC"/>
        <family val="2"/>
      </rPr>
      <t xml:space="preserve">停車後走</t>
    </r>
    <r>
      <rPr>
        <sz val="10"/>
        <color rgb="FF333333"/>
        <rFont val="微軟正黑體"/>
        <family val="0"/>
        <charset val="1"/>
      </rPr>
      <t xml:space="preserve">15</t>
    </r>
    <r>
      <rPr>
        <sz val="10"/>
        <color rgb="FF333333"/>
        <rFont val="Noto Sans CJK SC"/>
        <family val="2"/>
      </rPr>
      <t xml:space="preserve">分鐘，可換</t>
    </r>
  </si>
  <si>
    <t xml:space="preserve">看瀑布</t>
  </si>
  <si>
    <t xml:space="preserve">袋田瀑布</t>
  </si>
  <si>
    <r>
      <rPr>
        <sz val="10"/>
        <color rgb="FF333333"/>
        <rFont val="Noto Sans CJK SC"/>
        <family val="2"/>
      </rPr>
      <t xml:space="preserve">門票</t>
    </r>
    <r>
      <rPr>
        <sz val="10"/>
        <color rgb="FF333333"/>
        <rFont val="微軟正黑體"/>
        <family val="0"/>
        <charset val="1"/>
      </rPr>
      <t xml:space="preserve">300</t>
    </r>
    <r>
      <rPr>
        <sz val="10"/>
        <color rgb="FF333333"/>
        <rFont val="Noto Sans CJK SC"/>
        <family val="2"/>
      </rPr>
      <t xml:space="preserve">円，</t>
    </r>
    <r>
      <rPr>
        <sz val="10"/>
        <color rgb="FF333333"/>
        <rFont val="微軟正黑體"/>
        <family val="0"/>
        <charset val="1"/>
      </rPr>
      <t xml:space="preserve">17:00 </t>
    </r>
    <r>
      <rPr>
        <sz val="10"/>
        <color rgb="FF333333"/>
        <rFont val="Noto Sans CJK SC"/>
        <family val="2"/>
      </rPr>
      <t xml:space="preserve">關閉</t>
    </r>
  </si>
  <si>
    <t xml:space="preserve">公園停車場</t>
  </si>
  <si>
    <r>
      <rPr>
        <sz val="10"/>
        <color rgb="FF333333"/>
        <rFont val="Noto Sans CJK SC"/>
        <family val="2"/>
      </rPr>
      <t xml:space="preserve">日落 </t>
    </r>
    <r>
      <rPr>
        <sz val="10"/>
        <color rgb="FF333333"/>
        <rFont val="微軟正黑體"/>
        <family val="0"/>
        <charset val="1"/>
      </rPr>
      <t xml:space="preserve">(18:18) </t>
    </r>
    <r>
      <rPr>
        <sz val="10"/>
        <color rgb="FF333333"/>
        <rFont val="Noto Sans CJK SC"/>
        <family val="2"/>
      </rPr>
      <t xml:space="preserve">花況好會有夜間點燈</t>
    </r>
  </si>
  <si>
    <t xml:space="preserve">静峰故鄉公園</t>
  </si>
  <si>
    <r>
      <rPr>
        <sz val="10"/>
        <color rgb="FF333333"/>
        <rFont val="Noto Sans CJK SC"/>
        <family val="2"/>
      </rPr>
      <t xml:space="preserve">櫻花祭期間，門票</t>
    </r>
    <r>
      <rPr>
        <sz val="10"/>
        <color rgb="FF333333"/>
        <rFont val="微軟正黑體"/>
        <family val="0"/>
        <charset val="1"/>
      </rPr>
      <t xml:space="preserve">300</t>
    </r>
    <r>
      <rPr>
        <sz val="10"/>
        <color rgb="FF333333"/>
        <rFont val="Noto Sans CJK SC"/>
        <family val="2"/>
      </rPr>
      <t xml:space="preserve">円，停車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</t>
    </r>
  </si>
  <si>
    <t xml:space="preserve">飯店門口停車場</t>
  </si>
  <si>
    <r>
      <rPr>
        <sz val="10"/>
        <color rgb="FF333333"/>
        <rFont val="微軟正黑體"/>
        <family val="0"/>
        <charset val="1"/>
      </rPr>
      <t xml:space="preserve">21:00</t>
    </r>
    <r>
      <rPr>
        <sz val="10"/>
        <color rgb="FF333333"/>
        <rFont val="Noto Sans CJK SC"/>
        <family val="2"/>
      </rPr>
      <t xml:space="preserve">前須入住</t>
    </r>
  </si>
  <si>
    <t xml:space="preserve">餐廳門口停車場</t>
  </si>
  <si>
    <r>
      <rPr>
        <sz val="10"/>
        <color rgb="FF333333"/>
        <rFont val="Noto Sans CJK SC"/>
        <family val="2"/>
      </rPr>
      <t xml:space="preserve">晚餐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鰻魚飯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炸豬排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</si>
  <si>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Matsunobu</t>
  </si>
  <si>
    <t xml:space="preserve">有名的是炸豬排</t>
  </si>
  <si>
    <t xml:space="preserve">逛超市</t>
  </si>
  <si>
    <t xml:space="preserve">セイブ 食彩館大洗店</t>
  </si>
  <si>
    <r>
      <rPr>
        <sz val="10"/>
        <color rgb="FF333333"/>
        <rFont val="微軟正黑體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人房，有溫泉</t>
    </r>
  </si>
  <si>
    <r>
      <rPr>
        <sz val="10"/>
        <color rgb="FF333333"/>
        <rFont val="Noto Sans CJK SC"/>
        <family val="2"/>
      </rPr>
      <t xml:space="preserve">起床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注意海濱公園開放時間</t>
    </r>
    <r>
      <rPr>
        <sz val="10"/>
        <color rgb="FF333333"/>
        <rFont val="微軟正黑體"/>
        <family val="0"/>
        <charset val="1"/>
      </rPr>
      <t xml:space="preserve">!!!)</t>
    </r>
  </si>
  <si>
    <t xml:space="preserve">買早餐</t>
  </si>
  <si>
    <r>
      <rPr>
        <sz val="10"/>
        <color rgb="FF333333"/>
        <rFont val="Noto Sans CJK SC"/>
        <family val="2"/>
      </rPr>
      <t xml:space="preserve">便利商店 </t>
    </r>
    <r>
      <rPr>
        <sz val="10"/>
        <color rgb="FF333333"/>
        <rFont val="微軟正黑體"/>
        <family val="0"/>
        <charset val="1"/>
      </rPr>
      <t xml:space="preserve">(7-11)</t>
    </r>
  </si>
  <si>
    <t xml:space="preserve">多買些東西可以適時補充體力，午餐先預備著</t>
  </si>
  <si>
    <t xml:space="preserve">西口駐車場</t>
  </si>
  <si>
    <r>
      <rPr>
        <sz val="10"/>
        <color rgb="FF333333"/>
        <rFont val="Noto Sans CJK SC"/>
        <family val="2"/>
      </rPr>
      <t xml:space="preserve">停車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等開園</t>
    </r>
  </si>
  <si>
    <t xml:space="preserve">國營常陸海濱公園</t>
  </si>
  <si>
    <r>
      <rPr>
        <sz val="10"/>
        <color rgb="FF333333"/>
        <rFont val="Noto Sans CJK SC"/>
        <family val="2"/>
      </rPr>
      <t xml:space="preserve">開園</t>
    </r>
    <r>
      <rPr>
        <sz val="10"/>
        <color rgb="FF333333"/>
        <rFont val="微軟正黑體"/>
        <family val="0"/>
        <charset val="1"/>
      </rPr>
      <t xml:space="preserve">09:30</t>
    </r>
    <r>
      <rPr>
        <sz val="10"/>
        <color rgb="FF333333"/>
        <rFont val="Noto Sans CJK SC"/>
        <family val="2"/>
      </rPr>
      <t xml:space="preserve">，提前</t>
    </r>
    <r>
      <rPr>
        <sz val="10"/>
        <color rgb="FF333333"/>
        <rFont val="微軟正黑體"/>
        <family val="0"/>
        <charset val="1"/>
      </rPr>
      <t xml:space="preserve">09:00</t>
    </r>
    <r>
      <rPr>
        <sz val="10"/>
        <color rgb="FF333333"/>
        <rFont val="Noto Sans CJK SC"/>
        <family val="2"/>
      </rPr>
      <t xml:space="preserve">到，也可能會更提早開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例如</t>
    </r>
    <r>
      <rPr>
        <sz val="10"/>
        <color rgb="FF333333"/>
        <rFont val="微軟正黑體"/>
        <family val="0"/>
        <charset val="1"/>
      </rPr>
      <t xml:space="preserve">08:30)</t>
    </r>
  </si>
  <si>
    <t xml:space="preserve">見晴之丘粉蝶花</t>
  </si>
  <si>
    <r>
      <rPr>
        <sz val="10"/>
        <color rgb="FF333333"/>
        <rFont val="Noto Sans CJK SC"/>
        <family val="2"/>
      </rPr>
      <t xml:space="preserve">入園費 </t>
    </r>
    <r>
      <rPr>
        <sz val="10"/>
        <color rgb="FF333333"/>
        <rFont val="微軟正黑體"/>
        <family val="0"/>
        <charset val="1"/>
      </rPr>
      <t xml:space="preserve">450</t>
    </r>
    <r>
      <rPr>
        <sz val="10"/>
        <color rgb="FF333333"/>
        <rFont val="Noto Sans CJK SC"/>
        <family val="2"/>
      </rPr>
      <t xml:space="preserve">円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附加費 </t>
    </r>
    <r>
      <rPr>
        <sz val="10"/>
        <color rgb="FF333333"/>
        <rFont val="微軟正黑體"/>
        <family val="0"/>
        <charset val="1"/>
      </rPr>
      <t xml:space="preserve">350</t>
    </r>
    <r>
      <rPr>
        <sz val="10"/>
        <color rgb="FF333333"/>
        <rFont val="Noto Sans CJK SC"/>
        <family val="2"/>
      </rPr>
      <t xml:space="preserve">円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現場自動售票機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官網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便利商店</t>
    </r>
    <r>
      <rPr>
        <sz val="10"/>
        <color rgb="FF333333"/>
        <rFont val="微軟正黑體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，停車</t>
    </r>
    <r>
      <rPr>
        <sz val="10"/>
        <color rgb="FF333333"/>
        <rFont val="微軟正黑體"/>
        <family val="0"/>
        <charset val="1"/>
      </rPr>
      <t xml:space="preserve">600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天</t>
    </r>
  </si>
  <si>
    <t xml:space="preserve">蛋之森林鬱金香</t>
  </si>
  <si>
    <r>
      <rPr>
        <sz val="10"/>
        <color rgb="FF333333"/>
        <rFont val="Noto Sans CJK SC"/>
        <family val="2"/>
      </rPr>
      <t xml:space="preserve">大草坪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噴水池</t>
    </r>
  </si>
  <si>
    <t xml:space="preserve">海濱小火車</t>
  </si>
  <si>
    <t xml:space="preserve">沙丘與海濱</t>
  </si>
  <si>
    <t xml:space="preserve">緩衝時間</t>
  </si>
  <si>
    <r>
      <rPr>
        <sz val="10"/>
        <color rgb="FF333333"/>
        <rFont val="Noto Sans CJK SC"/>
        <family val="2"/>
      </rPr>
      <t xml:space="preserve">午餐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公園內咖啡廳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</si>
  <si>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有些小店鋪可以購買熱食</t>
  </si>
  <si>
    <r>
      <rPr>
        <sz val="10"/>
        <color rgb="FF333333"/>
        <rFont val="Noto Sans CJK SC"/>
        <family val="2"/>
      </rPr>
      <t xml:space="preserve">常磐神社有料駐車場</t>
    </r>
    <r>
      <rPr>
        <sz val="10"/>
        <color rgb="FF333333"/>
        <rFont val="微軟正黑體"/>
        <family val="0"/>
        <charset val="1"/>
      </rPr>
      <t xml:space="preserve">(500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  <r>
      <rPr>
        <sz val="10"/>
        <color rgb="FF333333"/>
        <rFont val="微軟正黑體"/>
        <family val="0"/>
        <charset val="1"/>
      </rPr>
      <t xml:space="preserve">)/</t>
    </r>
    <r>
      <rPr>
        <sz val="10"/>
        <color rgb="FF333333"/>
        <rFont val="Noto Sans CJK SC"/>
        <family val="2"/>
      </rPr>
      <t xml:space="preserve">偕楽園下駐車場</t>
    </r>
    <r>
      <rPr>
        <sz val="10"/>
        <color rgb="FF333333"/>
        <rFont val="微軟正黑體"/>
        <family val="0"/>
        <charset val="1"/>
      </rPr>
      <t xml:space="preserve">(500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</si>
  <si>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走路</t>
  </si>
  <si>
    <r>
      <rPr>
        <sz val="10"/>
        <color rgb="FF333333"/>
        <rFont val="Noto Sans CJK SC"/>
        <family val="2"/>
      </rPr>
      <t xml:space="preserve">入園費 </t>
    </r>
    <r>
      <rPr>
        <sz val="10"/>
        <color rgb="FF333333"/>
        <rFont val="微軟正黑體"/>
        <family val="0"/>
        <charset val="1"/>
      </rPr>
      <t xml:space="preserve">320</t>
    </r>
    <r>
      <rPr>
        <sz val="10"/>
        <color rgb="FF333333"/>
        <rFont val="Noto Sans CJK SC"/>
        <family val="2"/>
      </rPr>
      <t xml:space="preserve">円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好文亭入場費 </t>
    </r>
    <r>
      <rPr>
        <sz val="10"/>
        <color rgb="FF333333"/>
        <rFont val="微軟正黑體"/>
        <family val="0"/>
        <charset val="1"/>
      </rPr>
      <t xml:space="preserve">230</t>
    </r>
    <r>
      <rPr>
        <sz val="10"/>
        <color rgb="FF333333"/>
        <rFont val="Noto Sans CJK SC"/>
        <family val="2"/>
      </rPr>
      <t xml:space="preserve">円</t>
    </r>
  </si>
  <si>
    <r>
      <rPr>
        <sz val="10"/>
        <color rgb="FF333333"/>
        <rFont val="Noto Sans CJK SC"/>
        <family val="2"/>
      </rPr>
      <t xml:space="preserve">水戶市地理高點、去</t>
    </r>
    <r>
      <rPr>
        <sz val="10"/>
        <color rgb="FF333333"/>
        <rFont val="微軟正黑體"/>
        <family val="0"/>
        <charset val="1"/>
      </rPr>
      <t xml:space="preserve">3F</t>
    </r>
    <r>
      <rPr>
        <sz val="10"/>
        <color rgb="FF333333"/>
        <rFont val="Noto Sans CJK SC"/>
        <family val="2"/>
      </rPr>
      <t xml:space="preserve">拍照</t>
    </r>
  </si>
  <si>
    <t xml:space="preserve">偕樂園好文亭</t>
  </si>
  <si>
    <r>
      <rPr>
        <sz val="10"/>
        <color rgb="FF333333"/>
        <rFont val="微軟正黑體"/>
        <family val="0"/>
        <charset val="1"/>
      </rPr>
      <t xml:space="preserve">17:00</t>
    </r>
    <r>
      <rPr>
        <sz val="10"/>
        <color rgb="FF333333"/>
        <rFont val="Noto Sans CJK SC"/>
        <family val="2"/>
      </rPr>
      <t xml:space="preserve">關</t>
    </r>
  </si>
  <si>
    <t xml:space="preserve">賞庭園風光、霧島杜鵑、竹林</t>
  </si>
  <si>
    <t xml:space="preserve">偕樂園主園</t>
  </si>
  <si>
    <r>
      <rPr>
        <sz val="10"/>
        <color rgb="FF333333"/>
        <rFont val="微軟正黑體"/>
        <family val="0"/>
        <charset val="1"/>
      </rPr>
      <t xml:space="preserve">19:00</t>
    </r>
    <r>
      <rPr>
        <sz val="10"/>
        <color rgb="FF333333"/>
        <rFont val="Noto Sans CJK SC"/>
        <family val="2"/>
      </rPr>
      <t xml:space="preserve">關</t>
    </r>
  </si>
  <si>
    <t xml:space="preserve">走行人連通道從偕樂園到千波湖</t>
  </si>
  <si>
    <t xml:space="preserve">賞湖畔風光與櫻花、遠看水戶藝術館</t>
  </si>
  <si>
    <t xml:space="preserve">千波湖</t>
  </si>
  <si>
    <r>
      <rPr>
        <sz val="10"/>
        <color rgb="FF333333"/>
        <rFont val="Noto Sans CJK SC"/>
        <family val="2"/>
      </rPr>
      <t xml:space="preserve">好文</t>
    </r>
    <r>
      <rPr>
        <sz val="10"/>
        <color rgb="FF333333"/>
        <rFont val="微軟正黑體"/>
        <family val="0"/>
        <charset val="1"/>
      </rPr>
      <t xml:space="preserve">Café</t>
    </r>
    <r>
      <rPr>
        <sz val="10"/>
        <color rgb="FF333333"/>
        <rFont val="Noto Sans CJK SC"/>
        <family val="2"/>
      </rPr>
      <t xml:space="preserve">不一定要去</t>
    </r>
  </si>
  <si>
    <t xml:space="preserve">走行人連通道從千波湖到偕樂園</t>
  </si>
  <si>
    <r>
      <rPr>
        <sz val="10"/>
        <color rgb="FF333333"/>
        <rFont val="Noto Sans CJK SC"/>
        <family val="2"/>
      </rPr>
      <t xml:space="preserve">水戸市五軒町 地下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立体 駐車場 </t>
    </r>
    <r>
      <rPr>
        <sz val="10"/>
        <color rgb="FF333333"/>
        <rFont val="微軟正黑體"/>
        <family val="0"/>
        <charset val="1"/>
      </rPr>
      <t xml:space="preserve">(30</t>
    </r>
    <r>
      <rPr>
        <sz val="10"/>
        <color rgb="FF333333"/>
        <rFont val="Noto Sans CJK SC"/>
        <family val="2"/>
      </rPr>
      <t xml:space="preserve">分鐘內免費，</t>
    </r>
    <r>
      <rPr>
        <sz val="10"/>
        <color rgb="FF333333"/>
        <rFont val="微軟正黑體"/>
        <family val="0"/>
        <charset val="1"/>
      </rPr>
      <t xml:space="preserve">100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半小時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</si>
  <si>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從外面拍照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日落</t>
    </r>
    <r>
      <rPr>
        <sz val="10"/>
        <color rgb="FF333333"/>
        <rFont val="微軟正黑體"/>
        <family val="0"/>
        <charset val="1"/>
      </rPr>
      <t xml:space="preserve">18:18)</t>
    </r>
  </si>
  <si>
    <t xml:space="preserve">水戶藝術館</t>
  </si>
  <si>
    <r>
      <rPr>
        <sz val="10"/>
        <color rgb="FF333333"/>
        <rFont val="Noto Sans CJK SC"/>
        <family val="2"/>
      </rPr>
      <t xml:space="preserve">晚餐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鮟鱇魚火鍋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</si>
  <si>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山翠</t>
  </si>
  <si>
    <t xml:space="preserve">已事前預約</t>
  </si>
  <si>
    <r>
      <rPr>
        <sz val="10"/>
        <color rgb="FF333333"/>
        <rFont val="Noto Sans CJK SC"/>
        <family val="2"/>
      </rPr>
      <t xml:space="preserve">同地點，</t>
    </r>
    <r>
      <rPr>
        <sz val="10"/>
        <color rgb="FF333333"/>
        <rFont val="微軟正黑體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人房，有溫泉</t>
    </r>
  </si>
  <si>
    <t xml:space="preserve">大洗公園 駐車場</t>
  </si>
  <si>
    <r>
      <rPr>
        <sz val="10"/>
        <color rgb="FF333333"/>
        <rFont val="Noto Sans CJK SC"/>
        <family val="2"/>
      </rPr>
      <t xml:space="preserve">觀賞日出 </t>
    </r>
    <r>
      <rPr>
        <sz val="10"/>
        <color rgb="FF333333"/>
        <rFont val="微軟正黑體"/>
        <family val="0"/>
        <charset val="1"/>
      </rPr>
      <t xml:space="preserve">(04:57)</t>
    </r>
  </si>
  <si>
    <t xml:space="preserve">神磯の舞台</t>
  </si>
  <si>
    <t xml:space="preserve">市場門口停車場</t>
  </si>
  <si>
    <r>
      <rPr>
        <sz val="10"/>
        <color rgb="FF333333"/>
        <rFont val="Noto Sans CJK SC"/>
        <family val="2"/>
      </rPr>
      <t xml:space="preserve">早餐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海鮮蓋飯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</si>
  <si>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大洗海鮮市場／海鮮蓋飯亭</t>
  </si>
  <si>
    <t xml:space="preserve">笠間稲荷神社駐車場</t>
  </si>
  <si>
    <t xml:space="preserve">欣賞精細木雕（麒麟、龍）</t>
  </si>
  <si>
    <t xml:space="preserve">笠間稻荷神社</t>
  </si>
  <si>
    <t xml:space="preserve">看紫藤</t>
  </si>
  <si>
    <t xml:space="preserve">八重の藤・大藤</t>
  </si>
  <si>
    <r>
      <rPr>
        <sz val="10"/>
        <color rgb="FF333333"/>
        <rFont val="Noto Sans CJK SC"/>
        <family val="2"/>
      </rPr>
      <t xml:space="preserve">吃核桃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蕎麥麵豆皮壽司</t>
    </r>
  </si>
  <si>
    <r>
      <rPr>
        <sz val="10"/>
        <color rgb="FF333333"/>
        <rFont val="Noto Sans CJK SC"/>
        <family val="2"/>
      </rPr>
      <t xml:space="preserve">二木胡桃米稻荷壽司 </t>
    </r>
    <r>
      <rPr>
        <sz val="10"/>
        <color rgb="FF333333"/>
        <rFont val="微軟正黑體"/>
        <family val="0"/>
        <charset val="1"/>
      </rPr>
      <t xml:space="preserve">(11:00</t>
    </r>
    <r>
      <rPr>
        <sz val="10"/>
        <color rgb="FF333333"/>
        <rFont val="Noto Sans CJK SC"/>
        <family val="2"/>
      </rPr>
      <t xml:space="preserve">開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</si>
  <si>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午餐一部分</t>
  </si>
  <si>
    <t xml:space="preserve">買胡桃饅頭、和菓子</t>
  </si>
  <si>
    <t xml:space="preserve">胡桃饅頭 吉田屋製果、松島製菓</t>
  </si>
  <si>
    <t xml:space="preserve">笠間つつじ公園の駐車場</t>
  </si>
  <si>
    <t xml:space="preserve">賞整片山丘的杜鵑花</t>
  </si>
  <si>
    <t xml:space="preserve">笠間杜鵑花公園</t>
  </si>
  <si>
    <r>
      <rPr>
        <sz val="10"/>
        <color rgb="FF333333"/>
        <rFont val="Noto Sans CJK SC"/>
        <family val="2"/>
      </rPr>
      <t xml:space="preserve">杜鵑花季入場費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</t>
    </r>
  </si>
  <si>
    <r>
      <rPr>
        <sz val="10"/>
        <color rgb="FF333333"/>
        <rFont val="Noto Sans CJK SC"/>
        <family val="2"/>
      </rPr>
      <t xml:space="preserve">店門口或第</t>
    </r>
    <r>
      <rPr>
        <sz val="10"/>
        <color rgb="FF333333"/>
        <rFont val="微軟正黑體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駐車場</t>
    </r>
  </si>
  <si>
    <t xml:space="preserve">買豆乳甜甜圈、豆腐霜淇淋</t>
  </si>
  <si>
    <t xml:space="preserve">佐白山のとうふ屋</t>
  </si>
  <si>
    <t xml:space="preserve">外帶吃、準備隔天早餐</t>
  </si>
  <si>
    <r>
      <rPr>
        <sz val="10"/>
        <color rgb="FF333333"/>
        <rFont val="Noto Sans CJK SC"/>
        <family val="2"/>
      </rPr>
      <t xml:space="preserve">笠間市営笠間駅北口駐車場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半小時免費、</t>
    </r>
    <r>
      <rPr>
        <sz val="10"/>
        <color rgb="FF333333"/>
        <rFont val="微軟正黑體"/>
        <family val="0"/>
        <charset val="1"/>
      </rPr>
      <t xml:space="preserve">100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小時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</si>
  <si>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買栗子蒙布朗、栗子製品</t>
  </si>
  <si>
    <t xml:space="preserve">洋風笠間菓子</t>
  </si>
  <si>
    <t xml:space="preserve">外帶吃</t>
  </si>
  <si>
    <t xml:space="preserve">看芝櫻</t>
  </si>
  <si>
    <t xml:space="preserve">市貝町芝櫻公園</t>
  </si>
  <si>
    <r>
      <rPr>
        <sz val="10"/>
        <color rgb="FF333333"/>
        <rFont val="Noto Sans CJK SC"/>
        <family val="2"/>
      </rPr>
      <t xml:space="preserve">入場費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</t>
    </r>
  </si>
  <si>
    <t xml:space="preserve">日光市営上鉢石駐車場</t>
  </si>
  <si>
    <t xml:space="preserve">拍照</t>
  </si>
  <si>
    <t xml:space="preserve">神橋</t>
  </si>
  <si>
    <t xml:space="preserve">停門口</t>
  </si>
  <si>
    <r>
      <rPr>
        <sz val="10"/>
        <color rgb="FF333333"/>
        <rFont val="Noto Sans CJK SC"/>
        <family val="2"/>
      </rPr>
      <t xml:space="preserve">晚餐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日式定食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</si>
  <si>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日光けんちん汁 古はし</t>
  </si>
  <si>
    <t xml:space="preserve">日光市區晚上完全沒東西</t>
  </si>
  <si>
    <r>
      <rPr>
        <sz val="10"/>
        <color rgb="FF333333"/>
        <rFont val="Noto Sans CJK SC"/>
        <family val="2"/>
      </rPr>
      <t xml:space="preserve">早餐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吃豆乳甜甜圈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</si>
  <si>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看山景</t>
  </si>
  <si>
    <t xml:space="preserve">黒髪平展望台</t>
  </si>
  <si>
    <t xml:space="preserve">看男體山與中禪寺湖</t>
  </si>
  <si>
    <t xml:space="preserve">明智平</t>
  </si>
  <si>
    <t xml:space="preserve">纜車整修中</t>
  </si>
  <si>
    <r>
      <rPr>
        <sz val="10"/>
        <color rgb="FF333333"/>
        <rFont val="Noto Sans CJK SC"/>
        <family val="2"/>
      </rPr>
      <t xml:space="preserve">華嚴瀑布第二駐車場 </t>
    </r>
    <r>
      <rPr>
        <sz val="10"/>
        <color rgb="FF333333"/>
        <rFont val="微軟正黑體"/>
        <family val="0"/>
        <charset val="1"/>
      </rPr>
      <t xml:space="preserve">(500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</si>
  <si>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從下而上看</t>
  </si>
  <si>
    <t xml:space="preserve">華嚴瀑布 下展望台</t>
  </si>
  <si>
    <r>
      <rPr>
        <sz val="10"/>
        <color rgb="FF333333"/>
        <rFont val="Noto Sans CJK SC"/>
        <family val="2"/>
      </rPr>
      <t xml:space="preserve">搭電梯有料 </t>
    </r>
    <r>
      <rPr>
        <sz val="10"/>
        <color rgb="FF333333"/>
        <rFont val="微軟正黑體"/>
        <family val="0"/>
        <charset val="1"/>
      </rPr>
      <t xml:space="preserve">(600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、共三層</t>
    </r>
  </si>
  <si>
    <t xml:space="preserve">從上而下看</t>
  </si>
  <si>
    <t xml:space="preserve">華嚴瀑布 無料展望台</t>
  </si>
  <si>
    <t xml:space="preserve">湖與鳥居</t>
  </si>
  <si>
    <t xml:space="preserve">二荒山神社 大鳥居</t>
  </si>
  <si>
    <t xml:space="preserve">含走路時間</t>
  </si>
  <si>
    <t xml:space="preserve">順路湖景</t>
  </si>
  <si>
    <t xml:space="preserve">中禪寺湖畔園地</t>
  </si>
  <si>
    <r>
      <rPr>
        <sz val="10"/>
        <color rgb="FF333333"/>
        <rFont val="Noto Sans CJK SC"/>
        <family val="2"/>
      </rPr>
      <t xml:space="preserve">午餐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炸豬排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</si>
  <si>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淺井精肉店</t>
  </si>
  <si>
    <r>
      <rPr>
        <sz val="10"/>
        <color rgb="FF333333"/>
        <rFont val="Noto Sans CJK SC"/>
        <family val="2"/>
      </rPr>
      <t xml:space="preserve">県営歌ヶ浜第一 大型駐車場 </t>
    </r>
    <r>
      <rPr>
        <sz val="10"/>
        <color rgb="FF333333"/>
        <rFont val="微軟正黑體"/>
        <family val="0"/>
        <charset val="1"/>
      </rPr>
      <t xml:space="preserve">(500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</si>
  <si>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搭中禅寺湖遊覧船</t>
  </si>
  <si>
    <t xml:space="preserve">立木観音→中禪寺→菖蒲濱→大使館</t>
  </si>
  <si>
    <r>
      <rPr>
        <sz val="10"/>
        <color rgb="FF333333"/>
        <rFont val="Noto Sans CJK SC"/>
        <family val="2"/>
      </rPr>
      <t xml:space="preserve">船班時間固定，每小時一班，此區間</t>
    </r>
    <r>
      <rPr>
        <sz val="10"/>
        <color rgb="FF333333"/>
        <rFont val="微軟正黑體"/>
        <family val="0"/>
        <charset val="1"/>
      </rPr>
      <t xml:space="preserve">1600</t>
    </r>
    <r>
      <rPr>
        <sz val="10"/>
        <color rgb="FF333333"/>
        <rFont val="Noto Sans CJK SC"/>
        <family val="2"/>
      </rPr>
      <t xml:space="preserve">円</t>
    </r>
  </si>
  <si>
    <t xml:space="preserve">大使館公園→立木観音碼頭</t>
  </si>
  <si>
    <t xml:space="preserve">大使館別荘記念公園不能開車進</t>
  </si>
  <si>
    <t xml:space="preserve">生身觀音（腳在地上樹根內）</t>
  </si>
  <si>
    <t xml:space="preserve">日光山 中禅寺（立木観音）</t>
  </si>
  <si>
    <r>
      <rPr>
        <sz val="10"/>
        <color rgb="FF333333"/>
        <rFont val="Noto Sans CJK SC"/>
        <family val="2"/>
      </rPr>
      <t xml:space="preserve">拜觀券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</t>
    </r>
  </si>
  <si>
    <t xml:space="preserve">觀景台停車場</t>
  </si>
  <si>
    <t xml:space="preserve">看男體山與湖</t>
  </si>
  <si>
    <t xml:space="preserve">中禪寺湖觀景台</t>
  </si>
  <si>
    <t xml:space="preserve">爬上山走下山、看男體山與湖</t>
  </si>
  <si>
    <t xml:space="preserve">半月山展望台</t>
  </si>
  <si>
    <r>
      <rPr>
        <sz val="10"/>
        <color rgb="FF333333"/>
        <rFont val="Noto Sans CJK SC"/>
        <family val="2"/>
      </rPr>
      <t xml:space="preserve">海拔</t>
    </r>
    <r>
      <rPr>
        <sz val="10"/>
        <color rgb="FF333333"/>
        <rFont val="微軟正黑體"/>
        <family val="0"/>
        <charset val="1"/>
      </rPr>
      <t xml:space="preserve">1500</t>
    </r>
    <r>
      <rPr>
        <sz val="10"/>
        <color rgb="FF333333"/>
        <rFont val="Noto Sans CJK SC"/>
        <family val="2"/>
      </rPr>
      <t xml:space="preserve">公尺</t>
    </r>
  </si>
  <si>
    <t xml:space="preserve">竜頭滝駐車場</t>
  </si>
  <si>
    <t xml:space="preserve">龍頭瀑布</t>
  </si>
  <si>
    <r>
      <rPr>
        <sz val="10"/>
        <color rgb="FF333333"/>
        <rFont val="Noto Sans CJK SC"/>
        <family val="2"/>
      </rPr>
      <t xml:space="preserve">飯店門口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前門</t>
    </r>
    <r>
      <rPr>
        <sz val="10"/>
        <color rgb="FF333333"/>
        <rFont val="微軟正黑體"/>
        <family val="0"/>
        <charset val="1"/>
      </rPr>
      <t xml:space="preserve">3 &amp; </t>
    </r>
    <r>
      <rPr>
        <sz val="10"/>
        <color rgb="FF333333"/>
        <rFont val="Noto Sans CJK SC"/>
        <family val="2"/>
      </rPr>
      <t xml:space="preserve">後門</t>
    </r>
    <r>
      <rPr>
        <sz val="10"/>
        <color rgb="FF333333"/>
        <rFont val="微軟正黑體"/>
        <family val="0"/>
        <charset val="1"/>
      </rPr>
      <t xml:space="preserve">4)</t>
    </r>
  </si>
  <si>
    <t xml:space="preserve">步行去餐廳</t>
  </si>
  <si>
    <t xml:space="preserve">Pension Friendly</t>
  </si>
  <si>
    <t xml:space="preserve">步行回飯店開車</t>
  </si>
  <si>
    <t xml:space="preserve">三本松園地駐車場</t>
  </si>
  <si>
    <t xml:space="preserve">滿天星星</t>
  </si>
  <si>
    <t xml:space="preserve">戦場ヶ原展望台</t>
  </si>
  <si>
    <t xml:space="preserve">如果有熊害，改成在飯店附近</t>
  </si>
  <si>
    <t xml:space="preserve">泡湯、休息</t>
  </si>
  <si>
    <t xml:space="preserve">奧日光沒有便利商店</t>
  </si>
  <si>
    <r>
      <rPr>
        <sz val="10"/>
        <color rgb="FF333333"/>
        <rFont val="Noto Sans CJK SC"/>
        <family val="2"/>
      </rPr>
      <t xml:space="preserve">飯店早餐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超級市場</t>
    </r>
  </si>
  <si>
    <r>
      <rPr>
        <sz val="10"/>
        <color rgb="FF333333"/>
        <rFont val="Noto Sans CJK SC"/>
        <family val="2"/>
      </rPr>
      <t xml:space="preserve">日光二荒山神社 本社駐車場 </t>
    </r>
    <r>
      <rPr>
        <sz val="10"/>
        <color rgb="FF333333"/>
        <rFont val="微軟正黑體"/>
        <family val="0"/>
        <charset val="1"/>
      </rPr>
      <t xml:space="preserve">700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</si>
  <si>
    <t xml:space="preserve">進去參觀二天門、皇嘉門、拜殿</t>
  </si>
  <si>
    <r>
      <rPr>
        <sz val="10"/>
        <color rgb="FF333333"/>
        <rFont val="Noto Sans CJK SC"/>
        <family val="2"/>
      </rPr>
      <t xml:space="preserve">日光山輪王寺大猷院 </t>
    </r>
    <r>
      <rPr>
        <sz val="10"/>
        <color rgb="FF333333"/>
        <rFont val="微軟正黑體"/>
        <family val="0"/>
        <charset val="1"/>
      </rPr>
      <t xml:space="preserve">08:00-17:00</t>
    </r>
  </si>
  <si>
    <r>
      <rPr>
        <sz val="10"/>
        <color rgb="FF333333"/>
        <rFont val="Noto Sans CJK SC"/>
        <family val="2"/>
      </rPr>
      <t xml:space="preserve">輪王寺套票（三佛堂</t>
    </r>
    <r>
      <rPr>
        <sz val="10"/>
        <color rgb="FF333333"/>
        <rFont val="微軟正黑體"/>
        <family val="0"/>
        <charset val="1"/>
      </rPr>
      <t xml:space="preserve">&amp;</t>
    </r>
    <r>
      <rPr>
        <sz val="10"/>
        <color rgb="FF333333"/>
        <rFont val="Noto Sans CJK SC"/>
        <family val="2"/>
      </rPr>
      <t xml:space="preserve">大猷院）</t>
    </r>
    <r>
      <rPr>
        <sz val="10"/>
        <color rgb="FF333333"/>
        <rFont val="微軟正黑體"/>
        <family val="0"/>
        <charset val="1"/>
      </rPr>
      <t xml:space="preserve">900</t>
    </r>
    <r>
      <rPr>
        <sz val="10"/>
        <color rgb="FF333333"/>
        <rFont val="Noto Sans CJK SC"/>
        <family val="2"/>
      </rPr>
      <t xml:space="preserve">円</t>
    </r>
  </si>
  <si>
    <t xml:space="preserve">結緣、看御神木</t>
  </si>
  <si>
    <r>
      <rPr>
        <sz val="10"/>
        <color rgb="FF333333"/>
        <rFont val="Noto Sans CJK SC"/>
        <family val="2"/>
      </rPr>
      <t xml:space="preserve">日光二荒山神社 </t>
    </r>
    <r>
      <rPr>
        <sz val="10"/>
        <color rgb="FF333333"/>
        <rFont val="微軟正黑體"/>
        <family val="0"/>
        <charset val="1"/>
      </rPr>
      <t xml:space="preserve">08:30-17:00</t>
    </r>
  </si>
  <si>
    <t xml:space="preserve">看神木不需要進入付費的「神苑」</t>
  </si>
  <si>
    <r>
      <rPr>
        <sz val="10"/>
        <color rgb="FF333333"/>
        <rFont val="Noto Sans CJK SC"/>
        <family val="2"/>
      </rPr>
      <t xml:space="preserve">五重塔 </t>
    </r>
    <r>
      <rPr>
        <sz val="10"/>
        <color rgb="FF333333"/>
        <rFont val="微軟正黑體"/>
        <family val="0"/>
        <charset val="1"/>
      </rPr>
      <t xml:space="preserve">08:00-17:00</t>
    </r>
  </si>
  <si>
    <t xml:space="preserve">仔細看建築的雕刻</t>
  </si>
  <si>
    <r>
      <rPr>
        <sz val="10"/>
        <color rgb="FF333333"/>
        <rFont val="Noto Sans CJK SC"/>
        <family val="2"/>
      </rPr>
      <t xml:space="preserve">日光東照宮 </t>
    </r>
    <r>
      <rPr>
        <sz val="10"/>
        <color rgb="FF333333"/>
        <rFont val="微軟正黑體"/>
        <family val="0"/>
        <charset val="1"/>
      </rPr>
      <t xml:space="preserve">09:00-17:00 &amp; </t>
    </r>
    <r>
      <rPr>
        <sz val="10"/>
        <color rgb="FF333333"/>
        <rFont val="Noto Sans CJK SC"/>
        <family val="2"/>
      </rPr>
      <t xml:space="preserve">奧宮（家康之墓）</t>
    </r>
  </si>
  <si>
    <r>
      <rPr>
        <sz val="10"/>
        <color rgb="FF333333"/>
        <rFont val="Noto Sans CJK SC"/>
        <family val="2"/>
      </rPr>
      <t xml:space="preserve">拜觀券</t>
    </r>
    <r>
      <rPr>
        <sz val="10"/>
        <color rgb="FF333333"/>
        <rFont val="微軟正黑體"/>
        <family val="0"/>
        <charset val="1"/>
      </rPr>
      <t xml:space="preserve">1600</t>
    </r>
    <r>
      <rPr>
        <sz val="10"/>
        <color rgb="FF333333"/>
        <rFont val="Noto Sans CJK SC"/>
        <family val="2"/>
      </rPr>
      <t xml:space="preserve">円，陽明門、拜殿、眠貓</t>
    </r>
  </si>
  <si>
    <r>
      <rPr>
        <sz val="10"/>
        <color rgb="FF333333"/>
        <rFont val="Noto Sans CJK SC"/>
        <family val="2"/>
      </rPr>
      <t xml:space="preserve">觀看護摩祈願 </t>
    </r>
    <r>
      <rPr>
        <sz val="10"/>
        <color rgb="FF333333"/>
        <rFont val="微軟正黑體"/>
        <family val="0"/>
        <charset val="1"/>
      </rPr>
      <t xml:space="preserve">11:00 </t>
    </r>
    <r>
      <rPr>
        <sz val="10"/>
        <color rgb="FF333333"/>
        <rFont val="Noto Sans CJK SC"/>
        <family val="2"/>
      </rPr>
      <t xml:space="preserve">場次</t>
    </r>
  </si>
  <si>
    <r>
      <rPr>
        <sz val="10"/>
        <color rgb="FF333333"/>
        <rFont val="Noto Sans CJK SC"/>
        <family val="2"/>
      </rPr>
      <t xml:space="preserve">大護摩堂 </t>
    </r>
    <r>
      <rPr>
        <sz val="10"/>
        <color rgb="FF333333"/>
        <rFont val="微軟正黑體"/>
        <family val="0"/>
        <charset val="1"/>
      </rPr>
      <t xml:space="preserve">08:00-17:00</t>
    </r>
  </si>
  <si>
    <r>
      <rPr>
        <sz val="10"/>
        <color rgb="FF333333"/>
        <rFont val="Noto Sans CJK SC"/>
        <family val="2"/>
      </rPr>
      <t xml:space="preserve">護摩祈願開始時間</t>
    </r>
    <r>
      <rPr>
        <sz val="10"/>
        <color rgb="FF333333"/>
        <rFont val="微軟正黑體"/>
        <family val="0"/>
        <charset val="1"/>
      </rPr>
      <t xml:space="preserve">7:30 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軟正黑體"/>
        <family val="0"/>
        <charset val="1"/>
      </rPr>
      <t xml:space="preserve">9:30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軟正黑體"/>
        <family val="0"/>
        <charset val="1"/>
      </rPr>
      <t xml:space="preserve">11:00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軟正黑體"/>
        <family val="0"/>
        <charset val="1"/>
      </rPr>
      <t xml:space="preserve">12:30</t>
    </r>
    <r>
      <rPr>
        <sz val="10"/>
        <color rgb="FF333333"/>
        <rFont val="Noto Sans CJK SC"/>
        <family val="2"/>
      </rPr>
      <t xml:space="preserve">、 </t>
    </r>
    <r>
      <rPr>
        <sz val="10"/>
        <color rgb="FF333333"/>
        <rFont val="微軟正黑體"/>
        <family val="0"/>
        <charset val="1"/>
      </rPr>
      <t xml:space="preserve">14:00</t>
    </r>
  </si>
  <si>
    <t xml:space="preserve">看看三大佛</t>
  </si>
  <si>
    <r>
      <rPr>
        <sz val="10"/>
        <color rgb="FF333333"/>
        <rFont val="Noto Sans CJK SC"/>
        <family val="2"/>
      </rPr>
      <t xml:space="preserve">日光山輪王寺（三佛堂） </t>
    </r>
    <r>
      <rPr>
        <sz val="10"/>
        <color rgb="FF333333"/>
        <rFont val="微軟正黑體"/>
        <family val="0"/>
        <charset val="1"/>
      </rPr>
      <t xml:space="preserve">08:00-17:00</t>
    </r>
  </si>
  <si>
    <t xml:space="preserve">走路去開車</t>
  </si>
  <si>
    <t xml:space="preserve">填飽肚子、逛日光街道</t>
  </si>
  <si>
    <t xml:space="preserve">日光街道</t>
  </si>
  <si>
    <r>
      <rPr>
        <sz val="10"/>
        <color rgb="FF333333"/>
        <rFont val="Noto Sans CJK SC"/>
        <family val="2"/>
      </rPr>
      <t xml:space="preserve">金谷飯店烘焙坊 神橋店 </t>
    </r>
    <r>
      <rPr>
        <sz val="10"/>
        <color rgb="FF333333"/>
        <rFont val="微軟正黑體"/>
        <family val="0"/>
        <charset val="1"/>
      </rPr>
      <t xml:space="preserve">10:00-17:00</t>
    </r>
    <r>
      <rPr>
        <sz val="10"/>
        <color rgb="FF333333"/>
        <rFont val="Noto Sans CJK SC"/>
        <family val="2"/>
      </rPr>
      <t xml:space="preserve">（皇家吐司、百年咖哩麵包、起司麵包棒）；やまとなでしこ </t>
    </r>
    <r>
      <rPr>
        <sz val="10"/>
        <color rgb="FF333333"/>
        <rFont val="微軟正黑體"/>
        <family val="0"/>
        <charset val="1"/>
      </rPr>
      <t xml:space="preserve">12:00-18:00 (</t>
    </r>
    <r>
      <rPr>
        <sz val="10"/>
        <color rgb="FF333333"/>
        <rFont val="Noto Sans CJK SC"/>
        <family val="2"/>
      </rPr>
      <t xml:space="preserve">拉麵店</t>
    </r>
    <r>
      <rPr>
        <sz val="10"/>
        <color rgb="FF333333"/>
        <rFont val="微軟正黑體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（餛飩豆皮控肉拉麵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招牌</t>
    </r>
    <r>
      <rPr>
        <sz val="10"/>
        <color rgb="FF333333"/>
        <rFont val="微軟正黑體"/>
        <family val="0"/>
        <charset val="1"/>
      </rPr>
      <t xml:space="preserve">) =&gt; </t>
    </r>
    <r>
      <rPr>
        <sz val="10"/>
        <color rgb="FF333333"/>
        <rFont val="Noto Sans CJK SC"/>
        <family val="2"/>
      </rPr>
      <t xml:space="preserve">吃湯波卷）；日光</t>
    </r>
    <r>
      <rPr>
        <sz val="10"/>
        <color rgb="FF333333"/>
        <rFont val="微軟正黑體"/>
        <family val="0"/>
        <charset val="1"/>
      </rPr>
      <t xml:space="preserve">Sakaeya </t>
    </r>
    <r>
      <rPr>
        <sz val="10"/>
        <color rgb="FF333333"/>
        <rFont val="Noto Sans CJK SC"/>
        <family val="2"/>
      </rPr>
      <t xml:space="preserve">炸湯波饅頭本舖 </t>
    </r>
    <r>
      <rPr>
        <sz val="10"/>
        <color rgb="FF333333"/>
        <rFont val="微軟正黑體"/>
        <family val="0"/>
        <charset val="1"/>
      </rPr>
      <t xml:space="preserve">09:30-17:00</t>
    </r>
    <r>
      <rPr>
        <sz val="10"/>
        <color rgb="FF333333"/>
        <rFont val="Noto Sans CJK SC"/>
        <family val="2"/>
      </rPr>
      <t xml:space="preserve">（炸饅頭）；日光布丁亭 日光本店 </t>
    </r>
    <r>
      <rPr>
        <sz val="10"/>
        <color rgb="FF333333"/>
        <rFont val="微軟正黑體"/>
        <family val="0"/>
        <charset val="1"/>
      </rPr>
      <t xml:space="preserve">10:00-17:00</t>
    </r>
    <r>
      <rPr>
        <sz val="10"/>
        <color rgb="FF333333"/>
        <rFont val="Noto Sans CJK SC"/>
        <family val="2"/>
      </rPr>
      <t xml:space="preserve">（原味布丁、布丁冰淇淋、雞蛋生布丁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限內用</t>
    </r>
    <r>
      <rPr>
        <sz val="10"/>
        <color rgb="FF333333"/>
        <rFont val="微軟正黑體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）；三福茶屋 </t>
    </r>
    <r>
      <rPr>
        <sz val="10"/>
        <color rgb="FF333333"/>
        <rFont val="微軟正黑體"/>
        <family val="0"/>
        <charset val="1"/>
      </rPr>
      <t xml:space="preserve">10:30-16:30</t>
    </r>
    <r>
      <rPr>
        <sz val="10"/>
        <color rgb="FF333333"/>
        <rFont val="Noto Sans CJK SC"/>
        <family val="2"/>
      </rPr>
      <t xml:space="preserve">（醬油糰子）；鬼平（きびら）の羊羮本舗 </t>
    </r>
    <r>
      <rPr>
        <sz val="10"/>
        <color rgb="FF333333"/>
        <rFont val="微軟正黑體"/>
        <family val="0"/>
        <charset val="1"/>
      </rPr>
      <t xml:space="preserve">08:30-17:00</t>
    </r>
    <r>
      <rPr>
        <sz val="10"/>
        <color rgb="FF333333"/>
        <rFont val="Noto Sans CJK SC"/>
        <family val="2"/>
      </rPr>
      <t xml:space="preserve">（水羊羹、栗子羊羹）；三山羊羹本舖 </t>
    </r>
    <r>
      <rPr>
        <sz val="10"/>
        <color rgb="FF333333"/>
        <rFont val="微軟正黑體"/>
        <family val="0"/>
        <charset val="1"/>
      </rPr>
      <t xml:space="preserve">08:00-18:30</t>
    </r>
    <r>
      <rPr>
        <sz val="10"/>
        <color rgb="FF333333"/>
        <rFont val="Noto Sans CJK SC"/>
        <family val="2"/>
      </rPr>
      <t xml:space="preserve">（水羊羹）</t>
    </r>
  </si>
  <si>
    <t xml:space="preserve">足利花卉公園駐車場</t>
  </si>
  <si>
    <t xml:space="preserve">賞紫藤</t>
  </si>
  <si>
    <r>
      <rPr>
        <sz val="10"/>
        <color rgb="FF333333"/>
        <rFont val="Noto Sans CJK SC"/>
        <family val="2"/>
      </rPr>
      <t xml:space="preserve">足利花卉公園 </t>
    </r>
    <r>
      <rPr>
        <sz val="10"/>
        <color rgb="FF333333"/>
        <rFont val="微軟正黑體"/>
        <family val="0"/>
        <charset val="1"/>
      </rPr>
      <t xml:space="preserve">08:00-20:30</t>
    </r>
  </si>
  <si>
    <r>
      <rPr>
        <sz val="10"/>
        <color rgb="FF333333"/>
        <rFont val="Noto Sans CJK SC"/>
        <family val="2"/>
      </rPr>
      <t xml:space="preserve">門票</t>
    </r>
    <r>
      <rPr>
        <sz val="10"/>
        <color rgb="FF333333"/>
        <rFont val="微軟正黑體"/>
        <family val="0"/>
        <charset val="1"/>
      </rPr>
      <t xml:space="preserve">1200-2300</t>
    </r>
    <r>
      <rPr>
        <sz val="10"/>
        <color rgb="FF333333"/>
        <rFont val="Noto Sans CJK SC"/>
        <family val="2"/>
      </rPr>
      <t xml:space="preserve">円、</t>
    </r>
    <r>
      <rPr>
        <sz val="10"/>
        <color rgb="FF333333"/>
        <rFont val="微軟正黑體"/>
        <family val="0"/>
        <charset val="1"/>
      </rPr>
      <t xml:space="preserve">17:30</t>
    </r>
    <r>
      <rPr>
        <sz val="10"/>
        <color rgb="FF333333"/>
        <rFont val="Noto Sans CJK SC"/>
        <family val="2"/>
      </rPr>
      <t xml:space="preserve">點燈</t>
    </r>
  </si>
  <si>
    <t xml:space="preserve">織姫公園駐車場</t>
  </si>
  <si>
    <t xml:space="preserve">看一眼夜景</t>
  </si>
  <si>
    <t xml:space="preserve">織姫公園展望台</t>
  </si>
  <si>
    <t xml:space="preserve">店家停車位</t>
  </si>
  <si>
    <r>
      <rPr>
        <sz val="10"/>
        <color rgb="FF333333"/>
        <rFont val="Noto Sans CJK SC"/>
        <family val="2"/>
      </rPr>
      <t xml:space="preserve">晚餐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青竹手工揉麵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</si>
  <si>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青竹手打ラーメン 義信 </t>
    </r>
    <r>
      <rPr>
        <sz val="10"/>
        <color rgb="FF333333"/>
        <rFont val="微軟正黑體"/>
        <family val="0"/>
        <charset val="1"/>
      </rPr>
      <t xml:space="preserve">17:30-21:00</t>
    </r>
  </si>
  <si>
    <t xml:space="preserve">飯店停車位</t>
  </si>
  <si>
    <r>
      <rPr>
        <sz val="10"/>
        <color rgb="FF333333"/>
        <rFont val="Noto Sans CJK SC"/>
        <family val="2"/>
      </rPr>
      <t xml:space="preserve">早餐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飯店免費冷凍餐點微波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</si>
  <si>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織姫観光駐車場</t>
  </si>
  <si>
    <t xml:space="preserve">爬上爬下、拍七色坂</t>
  </si>
  <si>
    <r>
      <rPr>
        <sz val="10"/>
        <color rgb="FF333333"/>
        <rFont val="Noto Sans CJK SC"/>
        <family val="2"/>
      </rPr>
      <t xml:space="preserve">七色の鳥居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縁結び坂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</si>
  <si>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佐野厄除け大師無料駐車場 </t>
    </r>
    <r>
      <rPr>
        <sz val="10"/>
        <color rgb="FF333333"/>
        <rFont val="微軟正黑體"/>
        <family val="0"/>
        <charset val="1"/>
      </rPr>
      <t xml:space="preserve">No.18</t>
    </r>
  </si>
  <si>
    <r>
      <rPr>
        <sz val="10"/>
        <color rgb="FF333333"/>
        <rFont val="Noto Sans CJK SC"/>
        <family val="2"/>
      </rPr>
      <t xml:space="preserve">破除厄運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看小東照宮</t>
    </r>
  </si>
  <si>
    <t xml:space="preserve">佐野厄除大師（元三大師）</t>
  </si>
  <si>
    <t xml:space="preserve">本堂與金色裝飾、日本最大的梵鐘、買御守</t>
  </si>
  <si>
    <t xml:space="preserve">賞花、走杜鵑花隧道</t>
  </si>
  <si>
    <t xml:space="preserve">館林市杜鵑花岡公園</t>
  </si>
  <si>
    <r>
      <rPr>
        <sz val="10"/>
        <color rgb="FF333333"/>
        <rFont val="Noto Sans CJK SC"/>
        <family val="2"/>
      </rPr>
      <t xml:space="preserve">盛花期 </t>
    </r>
    <r>
      <rPr>
        <sz val="10"/>
        <color rgb="FF333333"/>
        <rFont val="微軟正黑體"/>
        <family val="0"/>
        <charset val="1"/>
      </rPr>
      <t xml:space="preserve">630</t>
    </r>
    <r>
      <rPr>
        <sz val="10"/>
        <color rgb="FF333333"/>
        <rFont val="Noto Sans CJK SC"/>
        <family val="2"/>
      </rPr>
      <t xml:space="preserve">円，初花期和盛花期後 </t>
    </r>
    <r>
      <rPr>
        <sz val="10"/>
        <color rgb="FF333333"/>
        <rFont val="微軟正黑體"/>
        <family val="0"/>
        <charset val="1"/>
      </rPr>
      <t xml:space="preserve">310</t>
    </r>
    <r>
      <rPr>
        <sz val="10"/>
        <color rgb="FF333333"/>
        <rFont val="Noto Sans CJK SC"/>
        <family val="2"/>
      </rPr>
      <t xml:space="preserve">円</t>
    </r>
  </si>
  <si>
    <r>
      <rPr>
        <sz val="10"/>
        <color rgb="FF333333"/>
        <rFont val="Noto Sans CJK SC"/>
        <family val="2"/>
      </rPr>
      <t xml:space="preserve">午餐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超寬烏龍麵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</si>
  <si>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花山烏龍麵 本店 花山うどん 本店</t>
  </si>
  <si>
    <r>
      <rPr>
        <sz val="10"/>
        <color rgb="FF333333"/>
        <rFont val="微軟正黑體"/>
        <family val="0"/>
        <charset val="1"/>
      </rPr>
      <t xml:space="preserve">5</t>
    </r>
    <r>
      <rPr>
        <sz val="10"/>
        <color rgb="FF333333"/>
        <rFont val="Noto Sans CJK SC"/>
        <family val="2"/>
      </rPr>
      <t xml:space="preserve">公分超寬烏龍麵</t>
    </r>
  </si>
  <si>
    <r>
      <rPr>
        <sz val="10"/>
        <color rgb="FF333333"/>
        <rFont val="微軟正黑體"/>
        <family val="0"/>
        <charset val="1"/>
      </rPr>
      <t xml:space="preserve">ENEOS EneJet </t>
    </r>
    <r>
      <rPr>
        <sz val="10"/>
        <color rgb="FF333333"/>
        <rFont val="Noto Sans CJK SC"/>
        <family val="2"/>
      </rPr>
      <t xml:space="preserve">成田</t>
    </r>
    <r>
      <rPr>
        <sz val="10"/>
        <color rgb="FF333333"/>
        <rFont val="微軟正黑體"/>
        <family val="0"/>
        <charset val="1"/>
      </rPr>
      <t xml:space="preserve">SS</t>
    </r>
    <r>
      <rPr>
        <sz val="10"/>
        <color rgb="FF333333"/>
        <rFont val="Noto Sans CJK SC"/>
        <family val="2"/>
      </rPr>
      <t xml:space="preserve">／川久石油</t>
    </r>
  </si>
  <si>
    <r>
      <rPr>
        <sz val="10"/>
        <color rgb="FF333333"/>
        <rFont val="微軟正黑體"/>
        <family val="0"/>
        <charset val="1"/>
      </rPr>
      <t xml:space="preserve">Comfort Hotel </t>
    </r>
    <r>
      <rPr>
        <sz val="10"/>
        <color rgb="FF333333"/>
        <rFont val="Noto Sans CJK SC"/>
        <family val="2"/>
      </rPr>
      <t xml:space="preserve">成田</t>
    </r>
  </si>
  <si>
    <t xml:space="preserve">開車丟人在飯店門前</t>
  </si>
  <si>
    <t xml:space="preserve">還車</t>
  </si>
  <si>
    <r>
      <rPr>
        <sz val="10"/>
        <color rgb="FF333333"/>
        <rFont val="微軟正黑體"/>
        <family val="0"/>
        <charset val="1"/>
      </rPr>
      <t xml:space="preserve">TOYOTA</t>
    </r>
    <r>
      <rPr>
        <sz val="10"/>
        <color rgb="FF333333"/>
        <rFont val="Noto Sans CJK SC"/>
        <family val="2"/>
      </rPr>
      <t xml:space="preserve">租車 成田駅前店</t>
    </r>
  </si>
  <si>
    <r>
      <rPr>
        <sz val="10"/>
        <color rgb="FF333333"/>
        <rFont val="Noto Sans CJK SC"/>
        <family val="2"/>
      </rPr>
      <t xml:space="preserve">走路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住宿點→京成成田公車站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</si>
  <si>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搭公車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京成成田→永旺夢樂城 成田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</si>
  <si>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上一班 </t>
    </r>
    <r>
      <rPr>
        <sz val="10"/>
        <color rgb="FF333333"/>
        <rFont val="微軟正黑體"/>
        <family val="0"/>
        <charset val="1"/>
      </rPr>
      <t xml:space="preserve">16:15 / </t>
    </r>
    <r>
      <rPr>
        <sz val="10"/>
        <color rgb="FF333333"/>
        <rFont val="Noto Sans CJK SC"/>
        <family val="2"/>
      </rPr>
      <t xml:space="preserve">下一班 </t>
    </r>
    <r>
      <rPr>
        <sz val="10"/>
        <color rgb="FF333333"/>
        <rFont val="微軟正黑體"/>
        <family val="0"/>
        <charset val="1"/>
      </rPr>
      <t xml:space="preserve">16:45</t>
    </r>
  </si>
  <si>
    <t xml:space="preserve">晚餐與購物</t>
  </si>
  <si>
    <t xml:space="preserve">永旺夢樂城 成田</t>
  </si>
  <si>
    <r>
      <rPr>
        <sz val="10"/>
        <color rgb="FF333333"/>
        <rFont val="微軟正黑體"/>
        <family val="0"/>
        <charset val="1"/>
      </rPr>
      <t xml:space="preserve">AEON TOWN </t>
    </r>
    <r>
      <rPr>
        <sz val="10"/>
        <color rgb="FF333333"/>
        <rFont val="Noto Sans CJK SC"/>
        <family val="2"/>
      </rPr>
      <t xml:space="preserve">成田富里</t>
    </r>
  </si>
  <si>
    <r>
      <rPr>
        <sz val="10"/>
        <color rgb="FF333333"/>
        <rFont val="Noto Sans CJK SC"/>
        <family val="2"/>
      </rPr>
      <t xml:space="preserve">搭公車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永旺夢樂城 成田→京成成田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</si>
  <si>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上一班 </t>
    </r>
    <r>
      <rPr>
        <sz val="10"/>
        <color rgb="FF333333"/>
        <rFont val="微軟正黑體"/>
        <family val="0"/>
        <charset val="1"/>
      </rPr>
      <t xml:space="preserve">08:33 / </t>
    </r>
    <r>
      <rPr>
        <sz val="10"/>
        <color rgb="FF333333"/>
        <rFont val="Noto Sans CJK SC"/>
        <family val="2"/>
      </rPr>
      <t xml:space="preserve">末班車 </t>
    </r>
    <r>
      <rPr>
        <sz val="10"/>
        <color rgb="FF333333"/>
        <rFont val="微軟正黑體"/>
        <family val="0"/>
        <charset val="1"/>
      </rPr>
      <t xml:space="preserve">21:59</t>
    </r>
  </si>
  <si>
    <r>
      <rPr>
        <sz val="10"/>
        <color rgb="FF333333"/>
        <rFont val="Noto Sans CJK SC"/>
        <family val="2"/>
      </rPr>
      <t xml:space="preserve">走路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京成成田公車站→住宿點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</si>
  <si>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整理行李與休息</t>
  </si>
  <si>
    <t xml:space="preserve">走路或搭公車</t>
  </si>
  <si>
    <t xml:space="preserve">成田山表參道</t>
  </si>
  <si>
    <r>
      <rPr>
        <sz val="10"/>
        <color rgb="FF333333"/>
        <rFont val="Noto Sans CJK SC"/>
        <family val="2"/>
      </rPr>
      <t xml:space="preserve">走路</t>
    </r>
    <r>
      <rPr>
        <sz val="10"/>
        <color rgb="FF333333"/>
        <rFont val="微軟正黑體"/>
        <family val="0"/>
        <charset val="1"/>
      </rPr>
      <t xml:space="preserve">20</t>
    </r>
    <r>
      <rPr>
        <sz val="10"/>
        <color rgb="FF333333"/>
        <rFont val="Noto Sans CJK SC"/>
        <family val="2"/>
      </rPr>
      <t xml:space="preserve">分鐘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薬師堂公車站下車</t>
    </r>
  </si>
  <si>
    <t xml:space="preserve">成田山新勝寺</t>
  </si>
  <si>
    <t xml:space="preserve">「御護摩火供」儀式（通常每小時一場）</t>
  </si>
  <si>
    <t xml:space="preserve">拿整理券</t>
  </si>
  <si>
    <r>
      <rPr>
        <sz val="10"/>
        <color rgb="FF333333"/>
        <rFont val="Noto Sans CJK SC"/>
        <family val="2"/>
      </rPr>
      <t xml:space="preserve">川豊本店 </t>
    </r>
    <r>
      <rPr>
        <sz val="10"/>
        <color rgb="FF333333"/>
        <rFont val="微軟正黑體"/>
        <family val="0"/>
        <charset val="1"/>
      </rPr>
      <t xml:space="preserve">(10:00-17:00)</t>
    </r>
  </si>
  <si>
    <t xml:space="preserve">隨便逛逛</t>
  </si>
  <si>
    <r>
      <rPr>
        <sz val="10"/>
        <color rgb="FF333333"/>
        <rFont val="Noto Sans CJK SC"/>
        <family val="2"/>
      </rPr>
      <t xml:space="preserve">鰻魚 駿河屋 </t>
    </r>
    <r>
      <rPr>
        <sz val="10"/>
        <color rgb="FF333333"/>
        <rFont val="微軟正黑體"/>
        <family val="0"/>
        <charset val="1"/>
      </rPr>
      <t xml:space="preserve">(11:00-16:00)</t>
    </r>
  </si>
  <si>
    <t xml:space="preserve">早餐或午餐</t>
  </si>
  <si>
    <r>
      <rPr>
        <sz val="10"/>
        <color rgb="FF333333"/>
        <rFont val="Noto Sans CJK SC"/>
        <family val="2"/>
      </rPr>
      <t xml:space="preserve">可能</t>
    </r>
    <r>
      <rPr>
        <sz val="10"/>
        <color rgb="FF333333"/>
        <rFont val="微軟正黑體"/>
        <family val="0"/>
        <charset val="1"/>
      </rPr>
      <t xml:space="preserve">09:30</t>
    </r>
    <r>
      <rPr>
        <sz val="10"/>
        <color rgb="FF333333"/>
        <rFont val="Noto Sans CJK SC"/>
        <family val="2"/>
      </rPr>
      <t xml:space="preserve">領券、</t>
    </r>
    <r>
      <rPr>
        <sz val="10"/>
        <color rgb="FF333333"/>
        <rFont val="微軟正黑體"/>
        <family val="0"/>
        <charset val="1"/>
      </rPr>
      <t xml:space="preserve">10:20</t>
    </r>
    <r>
      <rPr>
        <sz val="10"/>
        <color rgb="FF333333"/>
        <rFont val="Noto Sans CJK SC"/>
        <family val="2"/>
      </rPr>
      <t xml:space="preserve">入座，店門口有自動發券機，或改外帶，只收現金</t>
    </r>
  </si>
  <si>
    <r>
      <rPr>
        <sz val="10"/>
        <color rgb="FF333333"/>
        <rFont val="Noto Sans CJK SC"/>
        <family val="2"/>
      </rPr>
      <t xml:space="preserve">可能</t>
    </r>
    <r>
      <rPr>
        <sz val="10"/>
        <color rgb="FF333333"/>
        <rFont val="微軟正黑體"/>
        <family val="0"/>
        <charset val="1"/>
      </rPr>
      <t xml:space="preserve">10:00</t>
    </r>
    <r>
      <rPr>
        <sz val="10"/>
        <color rgb="FF333333"/>
        <rFont val="Noto Sans CJK SC"/>
        <family val="2"/>
      </rPr>
      <t xml:space="preserve">領券、</t>
    </r>
    <r>
      <rPr>
        <sz val="10"/>
        <color rgb="FF333333"/>
        <rFont val="微軟正黑體"/>
        <family val="0"/>
        <charset val="1"/>
      </rPr>
      <t xml:space="preserve">11:20</t>
    </r>
    <r>
      <rPr>
        <sz val="10"/>
        <color rgb="FF333333"/>
        <rFont val="Noto Sans CJK SC"/>
        <family val="2"/>
      </rPr>
      <t xml:space="preserve">入座，或改外帶，只收現金</t>
    </r>
  </si>
  <si>
    <t xml:space="preserve">參觀</t>
  </si>
  <si>
    <t xml:space="preserve">拿行李</t>
  </si>
  <si>
    <r>
      <rPr>
        <sz val="10"/>
        <color rgb="FF333333"/>
        <rFont val="Noto Sans CJK SC"/>
        <family val="2"/>
      </rPr>
      <t xml:space="preserve">走路</t>
    </r>
    <r>
      <rPr>
        <sz val="10"/>
        <color rgb="FF333333"/>
        <rFont val="微軟正黑體"/>
        <family val="0"/>
        <charset val="1"/>
      </rPr>
      <t xml:space="preserve">&amp;</t>
    </r>
    <r>
      <rPr>
        <sz val="10"/>
        <color rgb="FF333333"/>
        <rFont val="Noto Sans CJK SC"/>
        <family val="2"/>
      </rPr>
      <t xml:space="preserve">緩衝</t>
    </r>
  </si>
  <si>
    <t xml:space="preserve">搭地鐵</t>
  </si>
  <si>
    <t xml:space="preserve">京成成田→機場第二航廈</t>
  </si>
  <si>
    <r>
      <rPr>
        <sz val="10"/>
        <color rgb="FF333333"/>
        <rFont val="微軟正黑體"/>
        <family val="0"/>
        <charset val="1"/>
      </rPr>
      <t xml:space="preserve">13:39 </t>
    </r>
    <r>
      <rPr>
        <sz val="10"/>
        <color rgb="FF333333"/>
        <rFont val="Noto Sans CJK SC"/>
        <family val="2"/>
      </rPr>
      <t xml:space="preserve">京成本線 </t>
    </r>
    <r>
      <rPr>
        <sz val="10"/>
        <color rgb="FF333333"/>
        <rFont val="微軟正黑體"/>
        <family val="0"/>
        <charset val="1"/>
      </rPr>
      <t xml:space="preserve">/ 13:59 </t>
    </r>
    <r>
      <rPr>
        <sz val="10"/>
        <color rgb="FF333333"/>
        <rFont val="Noto Sans CJK SC"/>
        <family val="2"/>
      </rPr>
      <t xml:space="preserve">京成本線 </t>
    </r>
    <r>
      <rPr>
        <sz val="10"/>
        <color rgb="FF333333"/>
        <rFont val="微軟正黑體"/>
        <family val="0"/>
        <charset val="1"/>
      </rPr>
      <t xml:space="preserve">/ 14:19 </t>
    </r>
    <r>
      <rPr>
        <sz val="10"/>
        <color rgb="FF333333"/>
        <rFont val="Noto Sans CJK SC"/>
        <family val="2"/>
      </rPr>
      <t xml:space="preserve">京成本線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只能搭京成本線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</si>
  <si>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走路移動</t>
  </si>
  <si>
    <t xml:space="preserve">B1F→3F</t>
  </si>
  <si>
    <r>
      <rPr>
        <sz val="10"/>
        <color rgb="FF333333"/>
        <rFont val="Noto Sans CJK SC"/>
        <family val="2"/>
      </rPr>
      <t xml:space="preserve">班機報到</t>
    </r>
    <r>
      <rPr>
        <sz val="10"/>
        <color rgb="FF333333"/>
        <rFont val="微軟正黑體"/>
        <family val="0"/>
        <charset val="1"/>
      </rPr>
      <t xml:space="preserve">&amp;</t>
    </r>
    <r>
      <rPr>
        <sz val="10"/>
        <color rgb="FF333333"/>
        <rFont val="Noto Sans CJK SC"/>
        <family val="2"/>
      </rPr>
      <t xml:space="preserve">機場購物</t>
    </r>
  </si>
  <si>
    <t xml:space="preserve">JX803 (A350-900)</t>
  </si>
  <si>
    <r>
      <rPr>
        <sz val="10"/>
        <color rgb="FF333333"/>
        <rFont val="Noto Sans CJK SC"/>
        <family val="2"/>
      </rPr>
      <t xml:space="preserve">飛行時間：</t>
    </r>
    <r>
      <rPr>
        <sz val="10"/>
        <color rgb="FF333333"/>
        <rFont val="微軟正黑體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小時</t>
    </r>
    <r>
      <rPr>
        <sz val="10"/>
        <color rgb="FF333333"/>
        <rFont val="微軟正黑體"/>
        <family val="0"/>
        <charset val="1"/>
      </rPr>
      <t xml:space="preserve">40</t>
    </r>
    <r>
      <rPr>
        <sz val="10"/>
        <color rgb="FF333333"/>
        <rFont val="Noto Sans CJK SC"/>
        <family val="2"/>
      </rPr>
      <t xml:space="preserve">分鐘</t>
    </r>
  </si>
  <si>
    <r>
      <rPr>
        <sz val="10"/>
        <color rgb="FF333333"/>
        <rFont val="Noto Sans CJK SC"/>
        <family val="2"/>
      </rPr>
      <t xml:space="preserve">桃園機場 </t>
    </r>
    <r>
      <rPr>
        <sz val="10"/>
        <color rgb="FF333333"/>
        <rFont val="微軟正黑體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航廈</t>
    </r>
  </si>
  <si>
    <t xml:space="preserve">家裡</t>
  </si>
  <si>
    <r>
      <rPr>
        <b val="true"/>
        <sz val="16"/>
        <color rgb="FF1F3864"/>
        <rFont val="Noto Sans CJK SC"/>
        <family val="2"/>
      </rPr>
      <t xml:space="preserve">第 </t>
    </r>
    <r>
      <rPr>
        <b val="true"/>
        <sz val="16"/>
        <color rgb="FF1F3864"/>
        <rFont val="微軟正黑體"/>
        <family val="0"/>
        <charset val="1"/>
      </rPr>
      <t xml:space="preserve">1 </t>
    </r>
    <r>
      <rPr>
        <b val="true"/>
        <sz val="16"/>
        <color rgb="FF1F3864"/>
        <rFont val="Noto Sans CJK SC"/>
        <family val="2"/>
      </rPr>
      <t xml:space="preserve">天　</t>
    </r>
    <r>
      <rPr>
        <b val="true"/>
        <sz val="16"/>
        <color rgb="FF1F3864"/>
        <rFont val="微軟正黑體"/>
        <family val="0"/>
        <charset val="1"/>
      </rPr>
      <t xml:space="preserve">2026/04/18</t>
    </r>
    <r>
      <rPr>
        <b val="true"/>
        <sz val="16"/>
        <color rgb="FF1F3864"/>
        <rFont val="Noto Sans CJK SC"/>
        <family val="2"/>
      </rPr>
      <t xml:space="preserve">（六）</t>
    </r>
  </si>
  <si>
    <t xml:space="preserve">地點／備註</t>
  </si>
  <si>
    <r>
      <rPr>
        <sz val="10"/>
        <color rgb="FF333333"/>
        <rFont val="Noto Sans CJK SC"/>
        <family val="2"/>
      </rPr>
      <t xml:space="preserve">※ 宜蘭 </t>
    </r>
    <r>
      <rPr>
        <sz val="10"/>
        <color rgb="FF333333"/>
        <rFont val="微軟正黑體"/>
        <family val="0"/>
        <charset val="1"/>
      </rPr>
      <t xml:space="preserve">05:00 </t>
    </r>
    <r>
      <rPr>
        <sz val="10"/>
        <color rgb="FF333333"/>
        <rFont val="Noto Sans CJK SC"/>
        <family val="2"/>
      </rPr>
      <t xml:space="preserve">出發（車程 </t>
    </r>
    <r>
      <rPr>
        <sz val="10"/>
        <color rgb="FF333333"/>
        <rFont val="微軟正黑體"/>
        <family val="0"/>
        <charset val="1"/>
      </rPr>
      <t xml:space="preserve">1:10~1:25</t>
    </r>
    <r>
      <rPr>
        <sz val="10"/>
        <color rgb="FF333333"/>
        <rFont val="Noto Sans CJK SC"/>
        <family val="2"/>
      </rPr>
      <t xml:space="preserve">）／新竹 </t>
    </r>
    <r>
      <rPr>
        <sz val="10"/>
        <color rgb="FF333333"/>
        <rFont val="微軟正黑體"/>
        <family val="0"/>
        <charset val="1"/>
      </rPr>
      <t xml:space="preserve">05:20 </t>
    </r>
    <r>
      <rPr>
        <sz val="10"/>
        <color rgb="FF333333"/>
        <rFont val="Noto Sans CJK SC"/>
        <family val="2"/>
      </rPr>
      <t xml:space="preserve">出發（車程 </t>
    </r>
    <r>
      <rPr>
        <sz val="10"/>
        <color rgb="FF333333"/>
        <rFont val="微軟正黑體"/>
        <family val="0"/>
        <charset val="1"/>
      </rPr>
      <t xml:space="preserve">45~55</t>
    </r>
    <r>
      <rPr>
        <sz val="10"/>
        <color rgb="FF333333"/>
        <rFont val="Noto Sans CJK SC"/>
        <family val="2"/>
      </rPr>
      <t xml:space="preserve">）</t>
    </r>
  </si>
  <si>
    <r>
      <rPr>
        <sz val="10"/>
        <color rgb="FF333333"/>
        <rFont val="Noto Sans CJK SC"/>
        <family val="2"/>
      </rPr>
      <t xml:space="preserve">桃園機場 </t>
    </r>
    <r>
      <rPr>
        <sz val="10"/>
        <color rgb="FF333333"/>
        <rFont val="微軟正黑體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航廈 </t>
    </r>
    <r>
      <rPr>
        <sz val="10"/>
        <color rgb="FF333333"/>
        <rFont val="微軟正黑體"/>
        <family val="0"/>
        <charset val="1"/>
      </rPr>
      <t xml:space="preserve">5</t>
    </r>
    <r>
      <rPr>
        <sz val="10"/>
        <color rgb="FF333333"/>
        <rFont val="Noto Sans CJK SC"/>
        <family val="2"/>
      </rPr>
      <t xml:space="preserve">或</t>
    </r>
    <r>
      <rPr>
        <sz val="10"/>
        <color rgb="FF333333"/>
        <rFont val="微軟正黑體"/>
        <family val="0"/>
        <charset val="1"/>
      </rPr>
      <t xml:space="preserve">6</t>
    </r>
    <r>
      <rPr>
        <sz val="10"/>
        <color rgb="FF333333"/>
        <rFont val="Noto Sans CJK SC"/>
        <family val="2"/>
      </rPr>
      <t xml:space="preserve">號櫃台　※ 需現場劃機位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選</t>
    </r>
    <r>
      <rPr>
        <sz val="10"/>
        <color rgb="FF333333"/>
        <rFont val="微軟正黑體"/>
        <family val="0"/>
        <charset val="1"/>
      </rPr>
      <t xml:space="preserve">A</t>
    </r>
    <r>
      <rPr>
        <sz val="10"/>
        <color rgb="FF333333"/>
        <rFont val="Noto Sans CJK SC"/>
        <family val="2"/>
      </rPr>
      <t xml:space="preserve">側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</si>
  <si>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微軟正黑體"/>
        <family val="0"/>
        <charset val="1"/>
      </rPr>
      <t xml:space="preserve">JX800 (A350-1000)</t>
    </r>
    <r>
      <rPr>
        <sz val="10"/>
        <color rgb="FF333333"/>
        <rFont val="Noto Sans CJK SC"/>
        <family val="2"/>
      </rPr>
      <t xml:space="preserve">　※ 飛行時間：</t>
    </r>
    <r>
      <rPr>
        <sz val="10"/>
        <color rgb="FF333333"/>
        <rFont val="微軟正黑體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小時</t>
    </r>
    <r>
      <rPr>
        <sz val="10"/>
        <color rgb="FF333333"/>
        <rFont val="微軟正黑體"/>
        <family val="0"/>
        <charset val="1"/>
      </rPr>
      <t xml:space="preserve">25</t>
    </r>
    <r>
      <rPr>
        <sz val="10"/>
        <color rgb="FF333333"/>
        <rFont val="Noto Sans CJK SC"/>
        <family val="2"/>
      </rPr>
      <t xml:space="preserve">分鐘</t>
    </r>
  </si>
  <si>
    <r>
      <rPr>
        <sz val="10"/>
        <color rgb="FF333333"/>
        <rFont val="Noto Sans CJK SC"/>
        <family val="2"/>
      </rPr>
      <t xml:space="preserve">成田機場 </t>
    </r>
    <r>
      <rPr>
        <sz val="10"/>
        <color rgb="FF333333"/>
        <rFont val="微軟正黑體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航廈　※ 在機場隨便買點東西吃</t>
    </r>
  </si>
  <si>
    <r>
      <rPr>
        <sz val="10"/>
        <color rgb="FF333333"/>
        <rFont val="Noto Sans CJK SC"/>
        <family val="2"/>
      </rPr>
      <t xml:space="preserve">※ 駐車場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牛久大仏</t>
    </r>
    <r>
      <rPr>
        <sz val="10"/>
        <color rgb="FF333333"/>
        <rFont val="微軟正黑體"/>
        <family val="0"/>
        <charset val="1"/>
      </rPr>
      <t xml:space="preserve">) (</t>
    </r>
    <r>
      <rPr>
        <sz val="10"/>
        <color rgb="FF333333"/>
        <rFont val="Noto Sans CJK SC"/>
        <family val="2"/>
      </rPr>
      <t xml:space="preserve">免費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</si>
  <si>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牛久大佛　※ 不進去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僅參觀庭園 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円、含大佛胎內參觀的參拜費 </t>
    </r>
    <r>
      <rPr>
        <sz val="10"/>
        <color rgb="FF333333"/>
        <rFont val="微軟正黑體"/>
        <family val="0"/>
        <charset val="1"/>
      </rPr>
      <t xml:space="preserve">800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</si>
  <si>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※ 附近免費停車場</t>
  </si>
  <si>
    <t xml:space="preserve">※ 日立駅海岸口駐車場</t>
  </si>
  <si>
    <r>
      <rPr>
        <sz val="10"/>
        <color rgb="FF333333"/>
        <rFont val="微軟正黑體"/>
        <family val="0"/>
        <charset val="1"/>
      </rPr>
      <t xml:space="preserve">Sea Birds Café</t>
    </r>
    <r>
      <rPr>
        <sz val="10"/>
        <color rgb="FF333333"/>
        <rFont val="Noto Sans CJK SC"/>
        <family val="2"/>
      </rPr>
      <t xml:space="preserve">　※ 日落時間 </t>
    </r>
    <r>
      <rPr>
        <sz val="10"/>
        <color rgb="FF333333"/>
        <rFont val="微軟正黑體"/>
        <family val="0"/>
        <charset val="1"/>
      </rPr>
      <t xml:space="preserve">18:14</t>
    </r>
  </si>
  <si>
    <t xml:space="preserve">※ 日立山飯店專用駐車場</t>
  </si>
  <si>
    <r>
      <rPr>
        <sz val="10"/>
        <color rgb="FF333333"/>
        <rFont val="Noto Sans CJK SC"/>
        <family val="2"/>
      </rPr>
      <t xml:space="preserve">麺屋 金花土　※ 中華拉麵，僅現金，約 </t>
    </r>
    <r>
      <rPr>
        <sz val="10"/>
        <color rgb="FF333333"/>
        <rFont val="微軟正黑體"/>
        <family val="0"/>
        <charset val="1"/>
      </rPr>
      <t xml:space="preserve">1000-2000</t>
    </r>
    <r>
      <rPr>
        <sz val="10"/>
        <color rgb="FF333333"/>
        <rFont val="Noto Sans CJK SC"/>
        <family val="2"/>
      </rPr>
      <t xml:space="preserve">円</t>
    </r>
  </si>
  <si>
    <t xml:space="preserve">平和通り　※ 可能沒有櫻花了</t>
  </si>
  <si>
    <r>
      <rPr>
        <sz val="10"/>
        <color rgb="FF333333"/>
        <rFont val="Noto Sans CJK SC"/>
        <family val="2"/>
      </rPr>
      <t xml:space="preserve">日立山飯店　※ 雙人</t>
    </r>
    <r>
      <rPr>
        <sz val="10"/>
        <color rgb="FF333333"/>
        <rFont val="微軟正黑體"/>
        <family val="0"/>
        <charset val="1"/>
      </rPr>
      <t xml:space="preserve">1+</t>
    </r>
    <r>
      <rPr>
        <sz val="10"/>
        <color rgb="FF333333"/>
        <rFont val="Noto Sans CJK SC"/>
        <family val="2"/>
      </rPr>
      <t xml:space="preserve">雙床</t>
    </r>
    <r>
      <rPr>
        <sz val="10"/>
        <color rgb="FF333333"/>
        <rFont val="微軟正黑體"/>
        <family val="0"/>
        <charset val="1"/>
      </rPr>
      <t xml:space="preserve">1</t>
    </r>
  </si>
  <si>
    <t xml:space="preserve">當日行程時間</t>
  </si>
  <si>
    <r>
      <rPr>
        <b val="true"/>
        <sz val="16"/>
        <color rgb="FF1F3864"/>
        <rFont val="Noto Sans CJK SC"/>
        <family val="2"/>
      </rPr>
      <t xml:space="preserve">第 </t>
    </r>
    <r>
      <rPr>
        <b val="true"/>
        <sz val="16"/>
        <color rgb="FF1F3864"/>
        <rFont val="微軟正黑體"/>
        <family val="0"/>
        <charset val="1"/>
      </rPr>
      <t xml:space="preserve">2 </t>
    </r>
    <r>
      <rPr>
        <b val="true"/>
        <sz val="16"/>
        <color rgb="FF1F3864"/>
        <rFont val="Noto Sans CJK SC"/>
        <family val="2"/>
      </rPr>
      <t xml:space="preserve">天　</t>
    </r>
    <r>
      <rPr>
        <b val="true"/>
        <sz val="16"/>
        <color rgb="FF1F3864"/>
        <rFont val="微軟正黑體"/>
        <family val="0"/>
        <charset val="1"/>
      </rPr>
      <t xml:space="preserve">2026/04/19</t>
    </r>
    <r>
      <rPr>
        <b val="true"/>
        <sz val="16"/>
        <color rgb="FF1F3864"/>
        <rFont val="Noto Sans CJK SC"/>
        <family val="2"/>
      </rPr>
      <t xml:space="preserve">（日）</t>
    </r>
  </si>
  <si>
    <t xml:space="preserve">日立車站　※ 內部整面玻璃看出去</t>
  </si>
  <si>
    <t xml:space="preserve">日立山飯店　※ 飯店有附早餐</t>
  </si>
  <si>
    <t xml:space="preserve">※ 神峰公園 頂上停車場</t>
  </si>
  <si>
    <r>
      <rPr>
        <sz val="10"/>
        <color rgb="FF333333"/>
        <rFont val="Noto Sans CJK SC"/>
        <family val="2"/>
      </rPr>
      <t xml:space="preserve">※ 御岩神社 第一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二駐車場</t>
    </r>
  </si>
  <si>
    <t xml:space="preserve">御岩神社　※ 不爬上山</t>
  </si>
  <si>
    <r>
      <rPr>
        <sz val="10"/>
        <color rgb="FF333333"/>
        <rFont val="Noto Sans CJK SC"/>
        <family val="2"/>
      </rPr>
      <t xml:space="preserve">※ 竜神峡 第</t>
    </r>
    <r>
      <rPr>
        <sz val="10"/>
        <color rgb="FF333333"/>
        <rFont val="微軟正黑體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駐車場</t>
    </r>
  </si>
  <si>
    <r>
      <rPr>
        <sz val="10"/>
        <color rgb="FF333333"/>
        <rFont val="Noto Sans CJK SC"/>
        <family val="2"/>
      </rPr>
      <t xml:space="preserve">龍神大吊橋　※ 通行券</t>
    </r>
    <r>
      <rPr>
        <sz val="10"/>
        <color rgb="FF333333"/>
        <rFont val="微軟正黑體"/>
        <family val="0"/>
        <charset val="1"/>
      </rPr>
      <t xml:space="preserve">320</t>
    </r>
    <r>
      <rPr>
        <sz val="10"/>
        <color rgb="FF333333"/>
        <rFont val="Noto Sans CJK SC"/>
        <family val="2"/>
      </rPr>
      <t xml:space="preserve">円，橋頭買，有吊橋餅乾</t>
    </r>
  </si>
  <si>
    <r>
      <rPr>
        <sz val="10"/>
        <color rgb="FF333333"/>
        <rFont val="Noto Sans CJK SC"/>
        <family val="2"/>
      </rPr>
      <t xml:space="preserve">※ 袋田滝本町営第一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二無料駐車場</t>
    </r>
  </si>
  <si>
    <r>
      <rPr>
        <sz val="10"/>
        <color rgb="FF333333"/>
        <rFont val="微軟正黑體"/>
        <family val="0"/>
        <charset val="1"/>
      </rPr>
      <t xml:space="preserve">Takimoto</t>
    </r>
    <r>
      <rPr>
        <sz val="10"/>
        <color rgb="FF333333"/>
        <rFont val="Noto Sans CJK SC"/>
        <family val="2"/>
      </rPr>
      <t xml:space="preserve">　※ 停車後走</t>
    </r>
    <r>
      <rPr>
        <sz val="10"/>
        <color rgb="FF333333"/>
        <rFont val="微軟正黑體"/>
        <family val="0"/>
        <charset val="1"/>
      </rPr>
      <t xml:space="preserve">15</t>
    </r>
    <r>
      <rPr>
        <sz val="10"/>
        <color rgb="FF333333"/>
        <rFont val="Noto Sans CJK SC"/>
        <family val="2"/>
      </rPr>
      <t xml:space="preserve">分鐘，可換</t>
    </r>
  </si>
  <si>
    <r>
      <rPr>
        <sz val="10"/>
        <color rgb="FF333333"/>
        <rFont val="Noto Sans CJK SC"/>
        <family val="2"/>
      </rPr>
      <t xml:space="preserve">袋田瀑布　※ 門票</t>
    </r>
    <r>
      <rPr>
        <sz val="10"/>
        <color rgb="FF333333"/>
        <rFont val="微軟正黑體"/>
        <family val="0"/>
        <charset val="1"/>
      </rPr>
      <t xml:space="preserve">300</t>
    </r>
    <r>
      <rPr>
        <sz val="10"/>
        <color rgb="FF333333"/>
        <rFont val="Noto Sans CJK SC"/>
        <family val="2"/>
      </rPr>
      <t xml:space="preserve">円，</t>
    </r>
    <r>
      <rPr>
        <sz val="10"/>
        <color rgb="FF333333"/>
        <rFont val="微軟正黑體"/>
        <family val="0"/>
        <charset val="1"/>
      </rPr>
      <t xml:space="preserve">17:00 </t>
    </r>
    <r>
      <rPr>
        <sz val="10"/>
        <color rgb="FF333333"/>
        <rFont val="Noto Sans CJK SC"/>
        <family val="2"/>
      </rPr>
      <t xml:space="preserve">關閉</t>
    </r>
  </si>
  <si>
    <t xml:space="preserve">※ 公園停車場</t>
  </si>
  <si>
    <r>
      <rPr>
        <sz val="10"/>
        <color rgb="FF333333"/>
        <rFont val="Noto Sans CJK SC"/>
        <family val="2"/>
      </rPr>
      <t xml:space="preserve">静峰故鄉公園　※ 櫻花祭期間，門票</t>
    </r>
    <r>
      <rPr>
        <sz val="10"/>
        <color rgb="FF333333"/>
        <rFont val="微軟正黑體"/>
        <family val="0"/>
        <charset val="1"/>
      </rPr>
      <t xml:space="preserve">300</t>
    </r>
    <r>
      <rPr>
        <sz val="10"/>
        <color rgb="FF333333"/>
        <rFont val="Noto Sans CJK SC"/>
        <family val="2"/>
      </rPr>
      <t xml:space="preserve">円，停車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</t>
    </r>
  </si>
  <si>
    <t xml:space="preserve">※ 飯店門口停車場</t>
  </si>
  <si>
    <r>
      <rPr>
        <sz val="10"/>
        <color rgb="FF333333"/>
        <rFont val="Noto Sans CJK SC"/>
        <family val="2"/>
      </rPr>
      <t xml:space="preserve">とびた荘　※ </t>
    </r>
    <r>
      <rPr>
        <sz val="10"/>
        <color rgb="FF333333"/>
        <rFont val="微軟正黑體"/>
        <family val="0"/>
        <charset val="1"/>
      </rPr>
      <t xml:space="preserve">21:00</t>
    </r>
    <r>
      <rPr>
        <sz val="10"/>
        <color rgb="FF333333"/>
        <rFont val="Noto Sans CJK SC"/>
        <family val="2"/>
      </rPr>
      <t xml:space="preserve">前須入住</t>
    </r>
  </si>
  <si>
    <t xml:space="preserve">※ 餐廳門口停車場</t>
  </si>
  <si>
    <r>
      <rPr>
        <sz val="10"/>
        <color rgb="FF333333"/>
        <rFont val="微軟正黑體"/>
        <family val="0"/>
        <charset val="1"/>
      </rPr>
      <t xml:space="preserve">Matsunobu</t>
    </r>
    <r>
      <rPr>
        <sz val="10"/>
        <color rgb="FF333333"/>
        <rFont val="Noto Sans CJK SC"/>
        <family val="2"/>
      </rPr>
      <t xml:space="preserve">　※ 有名的是炸豬排</t>
    </r>
  </si>
  <si>
    <r>
      <rPr>
        <sz val="10"/>
        <color rgb="FF333333"/>
        <rFont val="Noto Sans CJK SC"/>
        <family val="2"/>
      </rPr>
      <t xml:space="preserve">とびた荘　※ </t>
    </r>
    <r>
      <rPr>
        <sz val="10"/>
        <color rgb="FF333333"/>
        <rFont val="微軟正黑體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人房，有溫泉</t>
    </r>
  </si>
  <si>
    <r>
      <rPr>
        <b val="true"/>
        <sz val="16"/>
        <color rgb="FF1F3864"/>
        <rFont val="Noto Sans CJK SC"/>
        <family val="2"/>
      </rPr>
      <t xml:space="preserve">第 </t>
    </r>
    <r>
      <rPr>
        <b val="true"/>
        <sz val="16"/>
        <color rgb="FF1F3864"/>
        <rFont val="微軟正黑體"/>
        <family val="0"/>
        <charset val="1"/>
      </rPr>
      <t xml:space="preserve">3 </t>
    </r>
    <r>
      <rPr>
        <b val="true"/>
        <sz val="16"/>
        <color rgb="FF1F3864"/>
        <rFont val="Noto Sans CJK SC"/>
        <family val="2"/>
      </rPr>
      <t xml:space="preserve">天　</t>
    </r>
    <r>
      <rPr>
        <b val="true"/>
        <sz val="16"/>
        <color rgb="FF1F3864"/>
        <rFont val="微軟正黑體"/>
        <family val="0"/>
        <charset val="1"/>
      </rPr>
      <t xml:space="preserve">2026/04/20</t>
    </r>
    <r>
      <rPr>
        <b val="true"/>
        <sz val="16"/>
        <color rgb="FF1F3864"/>
        <rFont val="Noto Sans CJK SC"/>
        <family val="2"/>
      </rPr>
      <t xml:space="preserve">（一）</t>
    </r>
  </si>
  <si>
    <r>
      <rPr>
        <sz val="10"/>
        <color rgb="FF333333"/>
        <rFont val="Noto Sans CJK SC"/>
        <family val="2"/>
      </rPr>
      <t xml:space="preserve">便利商店 </t>
    </r>
    <r>
      <rPr>
        <sz val="10"/>
        <color rgb="FF333333"/>
        <rFont val="微軟正黑體"/>
        <family val="0"/>
        <charset val="1"/>
      </rPr>
      <t xml:space="preserve">(7-11)</t>
    </r>
    <r>
      <rPr>
        <sz val="10"/>
        <color rgb="FF333333"/>
        <rFont val="Noto Sans CJK SC"/>
        <family val="2"/>
      </rPr>
      <t xml:space="preserve">　※ 多買些東西可以適時補充體力，午餐先預備著</t>
    </r>
  </si>
  <si>
    <t xml:space="preserve">※ 西口駐車場</t>
  </si>
  <si>
    <r>
      <rPr>
        <sz val="10"/>
        <color rgb="FF333333"/>
        <rFont val="Noto Sans CJK SC"/>
        <family val="2"/>
      </rPr>
      <t xml:space="preserve">國營常陸海濱公園　※ 開園</t>
    </r>
    <r>
      <rPr>
        <sz val="10"/>
        <color rgb="FF333333"/>
        <rFont val="微軟正黑體"/>
        <family val="0"/>
        <charset val="1"/>
      </rPr>
      <t xml:space="preserve">09:30</t>
    </r>
    <r>
      <rPr>
        <sz val="10"/>
        <color rgb="FF333333"/>
        <rFont val="Noto Sans CJK SC"/>
        <family val="2"/>
      </rPr>
      <t xml:space="preserve">，提前</t>
    </r>
    <r>
      <rPr>
        <sz val="10"/>
        <color rgb="FF333333"/>
        <rFont val="微軟正黑體"/>
        <family val="0"/>
        <charset val="1"/>
      </rPr>
      <t xml:space="preserve">09:00</t>
    </r>
    <r>
      <rPr>
        <sz val="10"/>
        <color rgb="FF333333"/>
        <rFont val="Noto Sans CJK SC"/>
        <family val="2"/>
      </rPr>
      <t xml:space="preserve">到，也可能會更提早開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例如</t>
    </r>
    <r>
      <rPr>
        <sz val="10"/>
        <color rgb="FF333333"/>
        <rFont val="微軟正黑體"/>
        <family val="0"/>
        <charset val="1"/>
      </rPr>
      <t xml:space="preserve">08:30)</t>
    </r>
  </si>
  <si>
    <r>
      <rPr>
        <sz val="10"/>
        <color rgb="FF333333"/>
        <rFont val="Noto Sans CJK SC"/>
        <family val="2"/>
      </rPr>
      <t xml:space="preserve">國營常陸海濱公園　※ 入園費 </t>
    </r>
    <r>
      <rPr>
        <sz val="10"/>
        <color rgb="FF333333"/>
        <rFont val="微軟正黑體"/>
        <family val="0"/>
        <charset val="1"/>
      </rPr>
      <t xml:space="preserve">450</t>
    </r>
    <r>
      <rPr>
        <sz val="10"/>
        <color rgb="FF333333"/>
        <rFont val="Noto Sans CJK SC"/>
        <family val="2"/>
      </rPr>
      <t xml:space="preserve">円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附加費 </t>
    </r>
    <r>
      <rPr>
        <sz val="10"/>
        <color rgb="FF333333"/>
        <rFont val="微軟正黑體"/>
        <family val="0"/>
        <charset val="1"/>
      </rPr>
      <t xml:space="preserve">350</t>
    </r>
    <r>
      <rPr>
        <sz val="10"/>
        <color rgb="FF333333"/>
        <rFont val="Noto Sans CJK SC"/>
        <family val="2"/>
      </rPr>
      <t xml:space="preserve">円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現場自動售票機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官網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便利商店</t>
    </r>
    <r>
      <rPr>
        <sz val="10"/>
        <color rgb="FF333333"/>
        <rFont val="微軟正黑體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，停車</t>
    </r>
    <r>
      <rPr>
        <sz val="10"/>
        <color rgb="FF333333"/>
        <rFont val="微軟正黑體"/>
        <family val="0"/>
        <charset val="1"/>
      </rPr>
      <t xml:space="preserve">600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天</t>
    </r>
  </si>
  <si>
    <t xml:space="preserve">國營常陸海濱公園　※ 海濱小火車</t>
  </si>
  <si>
    <t xml:space="preserve">國營常陸海濱公園　※ 有些小店鋪可以購買熱食</t>
  </si>
  <si>
    <r>
      <rPr>
        <sz val="10"/>
        <color rgb="FF333333"/>
        <rFont val="Noto Sans CJK SC"/>
        <family val="2"/>
      </rPr>
      <t xml:space="preserve">※ 常磐神社有料駐車場</t>
    </r>
    <r>
      <rPr>
        <sz val="10"/>
        <color rgb="FF333333"/>
        <rFont val="微軟正黑體"/>
        <family val="0"/>
        <charset val="1"/>
      </rPr>
      <t xml:space="preserve">(500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  <r>
      <rPr>
        <sz val="10"/>
        <color rgb="FF333333"/>
        <rFont val="微軟正黑體"/>
        <family val="0"/>
        <charset val="1"/>
      </rPr>
      <t xml:space="preserve">)/</t>
    </r>
    <r>
      <rPr>
        <sz val="10"/>
        <color rgb="FF333333"/>
        <rFont val="Noto Sans CJK SC"/>
        <family val="2"/>
      </rPr>
      <t xml:space="preserve">偕楽園下駐車場</t>
    </r>
    <r>
      <rPr>
        <sz val="10"/>
        <color rgb="FF333333"/>
        <rFont val="微軟正黑體"/>
        <family val="0"/>
        <charset val="1"/>
      </rPr>
      <t xml:space="preserve">(500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</si>
  <si>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※ 入園費 </t>
    </r>
    <r>
      <rPr>
        <sz val="10"/>
        <color rgb="FF333333"/>
        <rFont val="微軟正黑體"/>
        <family val="0"/>
        <charset val="1"/>
      </rPr>
      <t xml:space="preserve">320</t>
    </r>
    <r>
      <rPr>
        <sz val="10"/>
        <color rgb="FF333333"/>
        <rFont val="Noto Sans CJK SC"/>
        <family val="2"/>
      </rPr>
      <t xml:space="preserve">円 </t>
    </r>
    <r>
      <rPr>
        <sz val="10"/>
        <color rgb="FF333333"/>
        <rFont val="微軟正黑體"/>
        <family val="0"/>
        <charset val="1"/>
      </rPr>
      <t xml:space="preserve">&amp; </t>
    </r>
    <r>
      <rPr>
        <sz val="10"/>
        <color rgb="FF333333"/>
        <rFont val="Noto Sans CJK SC"/>
        <family val="2"/>
      </rPr>
      <t xml:space="preserve">好文亭入場費 </t>
    </r>
    <r>
      <rPr>
        <sz val="10"/>
        <color rgb="FF333333"/>
        <rFont val="微軟正黑體"/>
        <family val="0"/>
        <charset val="1"/>
      </rPr>
      <t xml:space="preserve">230</t>
    </r>
    <r>
      <rPr>
        <sz val="10"/>
        <color rgb="FF333333"/>
        <rFont val="Noto Sans CJK SC"/>
        <family val="2"/>
      </rPr>
      <t xml:space="preserve">円</t>
    </r>
  </si>
  <si>
    <r>
      <rPr>
        <sz val="10"/>
        <color rgb="FF333333"/>
        <rFont val="Noto Sans CJK SC"/>
        <family val="2"/>
      </rPr>
      <t xml:space="preserve">偕樂園好文亭　※ </t>
    </r>
    <r>
      <rPr>
        <sz val="10"/>
        <color rgb="FF333333"/>
        <rFont val="微軟正黑體"/>
        <family val="0"/>
        <charset val="1"/>
      </rPr>
      <t xml:space="preserve">17:00</t>
    </r>
    <r>
      <rPr>
        <sz val="10"/>
        <color rgb="FF333333"/>
        <rFont val="Noto Sans CJK SC"/>
        <family val="2"/>
      </rPr>
      <t xml:space="preserve">關</t>
    </r>
  </si>
  <si>
    <r>
      <rPr>
        <sz val="10"/>
        <color rgb="FF333333"/>
        <rFont val="Noto Sans CJK SC"/>
        <family val="2"/>
      </rPr>
      <t xml:space="preserve">偕樂園主園　※ </t>
    </r>
    <r>
      <rPr>
        <sz val="10"/>
        <color rgb="FF333333"/>
        <rFont val="微軟正黑體"/>
        <family val="0"/>
        <charset val="1"/>
      </rPr>
      <t xml:space="preserve">19:00</t>
    </r>
    <r>
      <rPr>
        <sz val="10"/>
        <color rgb="FF333333"/>
        <rFont val="Noto Sans CJK SC"/>
        <family val="2"/>
      </rPr>
      <t xml:space="preserve">關</t>
    </r>
  </si>
  <si>
    <r>
      <rPr>
        <sz val="10"/>
        <color rgb="FF333333"/>
        <rFont val="Noto Sans CJK SC"/>
        <family val="2"/>
      </rPr>
      <t xml:space="preserve">千波湖　※ 好文</t>
    </r>
    <r>
      <rPr>
        <sz val="10"/>
        <color rgb="FF333333"/>
        <rFont val="微軟正黑體"/>
        <family val="0"/>
        <charset val="1"/>
      </rPr>
      <t xml:space="preserve">Café</t>
    </r>
    <r>
      <rPr>
        <sz val="10"/>
        <color rgb="FF333333"/>
        <rFont val="Noto Sans CJK SC"/>
        <family val="2"/>
      </rPr>
      <t xml:space="preserve">不一定要去</t>
    </r>
  </si>
  <si>
    <r>
      <rPr>
        <sz val="10"/>
        <color rgb="FF333333"/>
        <rFont val="Noto Sans CJK SC"/>
        <family val="2"/>
      </rPr>
      <t xml:space="preserve">※ 水戸市五軒町 地下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立体 駐車場 </t>
    </r>
    <r>
      <rPr>
        <sz val="10"/>
        <color rgb="FF333333"/>
        <rFont val="微軟正黑體"/>
        <family val="0"/>
        <charset val="1"/>
      </rPr>
      <t xml:space="preserve">(30</t>
    </r>
    <r>
      <rPr>
        <sz val="10"/>
        <color rgb="FF333333"/>
        <rFont val="Noto Sans CJK SC"/>
        <family val="2"/>
      </rPr>
      <t xml:space="preserve">分鐘內免費，</t>
    </r>
    <r>
      <rPr>
        <sz val="10"/>
        <color rgb="FF333333"/>
        <rFont val="微軟正黑體"/>
        <family val="0"/>
        <charset val="1"/>
      </rPr>
      <t xml:space="preserve">100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半小時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</si>
  <si>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山翠　※ 已事前預約</t>
  </si>
  <si>
    <r>
      <rPr>
        <sz val="10"/>
        <color rgb="FF333333"/>
        <rFont val="Noto Sans CJK SC"/>
        <family val="2"/>
      </rPr>
      <t xml:space="preserve">とびた荘　※ 同地點，</t>
    </r>
    <r>
      <rPr>
        <sz val="10"/>
        <color rgb="FF333333"/>
        <rFont val="微軟正黑體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人房，有溫泉</t>
    </r>
  </si>
  <si>
    <r>
      <rPr>
        <b val="true"/>
        <sz val="16"/>
        <color rgb="FF1F3864"/>
        <rFont val="Noto Sans CJK SC"/>
        <family val="2"/>
      </rPr>
      <t xml:space="preserve">第 </t>
    </r>
    <r>
      <rPr>
        <b val="true"/>
        <sz val="16"/>
        <color rgb="FF1F3864"/>
        <rFont val="微軟正黑體"/>
        <family val="0"/>
        <charset val="1"/>
      </rPr>
      <t xml:space="preserve">4 </t>
    </r>
    <r>
      <rPr>
        <b val="true"/>
        <sz val="16"/>
        <color rgb="FF1F3864"/>
        <rFont val="Noto Sans CJK SC"/>
        <family val="2"/>
      </rPr>
      <t xml:space="preserve">天　</t>
    </r>
    <r>
      <rPr>
        <b val="true"/>
        <sz val="16"/>
        <color rgb="FF1F3864"/>
        <rFont val="微軟正黑體"/>
        <family val="0"/>
        <charset val="1"/>
      </rPr>
      <t xml:space="preserve">2026/04/21</t>
    </r>
    <r>
      <rPr>
        <b val="true"/>
        <sz val="16"/>
        <color rgb="FF1F3864"/>
        <rFont val="Noto Sans CJK SC"/>
        <family val="2"/>
      </rPr>
      <t xml:space="preserve">（二）</t>
    </r>
  </si>
  <si>
    <t xml:space="preserve">※ 大洗公園 駐車場</t>
  </si>
  <si>
    <t xml:space="preserve">※ 市場門口停車場</t>
  </si>
  <si>
    <t xml:space="preserve">※ 笠間稲荷神社駐車場</t>
  </si>
  <si>
    <r>
      <rPr>
        <sz val="10"/>
        <color rgb="FF333333"/>
        <rFont val="Noto Sans CJK SC"/>
        <family val="2"/>
      </rPr>
      <t xml:space="preserve">二木胡桃米稻荷壽司 </t>
    </r>
    <r>
      <rPr>
        <sz val="10"/>
        <color rgb="FF333333"/>
        <rFont val="微軟正黑體"/>
        <family val="0"/>
        <charset val="1"/>
      </rPr>
      <t xml:space="preserve">(11:00</t>
    </r>
    <r>
      <rPr>
        <sz val="10"/>
        <color rgb="FF333333"/>
        <rFont val="Noto Sans CJK SC"/>
        <family val="2"/>
      </rPr>
      <t xml:space="preserve">開</t>
    </r>
    <r>
      <rPr>
        <sz val="10"/>
        <color rgb="FF333333"/>
        <rFont val="微軟正黑體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　※ 午餐一部分</t>
    </r>
  </si>
  <si>
    <t xml:space="preserve">※ 笠間つつじ公園の駐車場</t>
  </si>
  <si>
    <r>
      <rPr>
        <sz val="10"/>
        <color rgb="FF333333"/>
        <rFont val="Noto Sans CJK SC"/>
        <family val="2"/>
      </rPr>
      <t xml:space="preserve">笠間杜鵑花公園　※ 杜鵑花季入場費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</t>
    </r>
  </si>
  <si>
    <r>
      <rPr>
        <sz val="10"/>
        <color rgb="FF333333"/>
        <rFont val="Noto Sans CJK SC"/>
        <family val="2"/>
      </rPr>
      <t xml:space="preserve">※ 店門口或第</t>
    </r>
    <r>
      <rPr>
        <sz val="10"/>
        <color rgb="FF333333"/>
        <rFont val="微軟正黑體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駐車場</t>
    </r>
  </si>
  <si>
    <t xml:space="preserve">佐白山のとうふ屋　※ 外帶吃、準備隔天早餐</t>
  </si>
  <si>
    <r>
      <rPr>
        <sz val="10"/>
        <color rgb="FF333333"/>
        <rFont val="Noto Sans CJK SC"/>
        <family val="2"/>
      </rPr>
      <t xml:space="preserve">※ 笠間市営笠間駅北口駐車場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半小時免費、</t>
    </r>
    <r>
      <rPr>
        <sz val="10"/>
        <color rgb="FF333333"/>
        <rFont val="微軟正黑體"/>
        <family val="0"/>
        <charset val="1"/>
      </rPr>
      <t xml:space="preserve">100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小時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</si>
  <si>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洋風笠間菓子　※ 外帶吃</t>
  </si>
  <si>
    <r>
      <rPr>
        <sz val="10"/>
        <color rgb="FF333333"/>
        <rFont val="Noto Sans CJK SC"/>
        <family val="2"/>
      </rPr>
      <t xml:space="preserve">市貝町芝櫻公園　※ 入場費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</t>
    </r>
  </si>
  <si>
    <t xml:space="preserve">※ 日光市営上鉢石駐車場</t>
  </si>
  <si>
    <r>
      <rPr>
        <sz val="10"/>
        <color rgb="FF333333"/>
        <rFont val="微軟正黑體"/>
        <family val="0"/>
        <charset val="1"/>
      </rPr>
      <t xml:space="preserve">Dragon Inn Nikko</t>
    </r>
    <r>
      <rPr>
        <sz val="10"/>
        <color rgb="FF333333"/>
        <rFont val="Noto Sans CJK SC"/>
        <family val="2"/>
      </rPr>
      <t xml:space="preserve">　※ 停門口</t>
    </r>
  </si>
  <si>
    <r>
      <rPr>
        <sz val="10"/>
        <color rgb="FF333333"/>
        <rFont val="微軟正黑體"/>
        <family val="0"/>
        <charset val="1"/>
      </rPr>
      <t xml:space="preserve">Dragon Inn Nikko</t>
    </r>
    <r>
      <rPr>
        <sz val="10"/>
        <color rgb="FF333333"/>
        <rFont val="Noto Sans CJK SC"/>
        <family val="2"/>
      </rPr>
      <t xml:space="preserve">　※ 日光市區晚上完全沒東西</t>
    </r>
  </si>
  <si>
    <r>
      <rPr>
        <b val="true"/>
        <sz val="16"/>
        <color rgb="FF1F3864"/>
        <rFont val="Noto Sans CJK SC"/>
        <family val="2"/>
      </rPr>
      <t xml:space="preserve">第 </t>
    </r>
    <r>
      <rPr>
        <b val="true"/>
        <sz val="16"/>
        <color rgb="FF1F3864"/>
        <rFont val="微軟正黑體"/>
        <family val="0"/>
        <charset val="1"/>
      </rPr>
      <t xml:space="preserve">5 </t>
    </r>
    <r>
      <rPr>
        <b val="true"/>
        <sz val="16"/>
        <color rgb="FF1F3864"/>
        <rFont val="Noto Sans CJK SC"/>
        <family val="2"/>
      </rPr>
      <t xml:space="preserve">天　</t>
    </r>
    <r>
      <rPr>
        <b val="true"/>
        <sz val="16"/>
        <color rgb="FF1F3864"/>
        <rFont val="微軟正黑體"/>
        <family val="0"/>
        <charset val="1"/>
      </rPr>
      <t xml:space="preserve">2026/04/22</t>
    </r>
    <r>
      <rPr>
        <b val="true"/>
        <sz val="16"/>
        <color rgb="FF1F3864"/>
        <rFont val="Noto Sans CJK SC"/>
        <family val="2"/>
      </rPr>
      <t xml:space="preserve">（三）</t>
    </r>
  </si>
  <si>
    <t xml:space="preserve">明智平　※ 纜車整修中</t>
  </si>
  <si>
    <r>
      <rPr>
        <sz val="10"/>
        <color rgb="FF333333"/>
        <rFont val="Noto Sans CJK SC"/>
        <family val="2"/>
      </rPr>
      <t xml:space="preserve">※ 華嚴瀑布第二駐車場 </t>
    </r>
    <r>
      <rPr>
        <sz val="10"/>
        <color rgb="FF333333"/>
        <rFont val="微軟正黑體"/>
        <family val="0"/>
        <charset val="1"/>
      </rPr>
      <t xml:space="preserve">(500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</si>
  <si>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華嚴瀑布 下展望台　※ 搭電梯有料 </t>
    </r>
    <r>
      <rPr>
        <sz val="10"/>
        <color rgb="FF333333"/>
        <rFont val="微軟正黑體"/>
        <family val="0"/>
        <charset val="1"/>
      </rPr>
      <t xml:space="preserve">(600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、共三層</t>
    </r>
  </si>
  <si>
    <t xml:space="preserve">二荒山神社 大鳥居　※ 含走路時間</t>
  </si>
  <si>
    <r>
      <rPr>
        <sz val="10"/>
        <color rgb="FF333333"/>
        <rFont val="Noto Sans CJK SC"/>
        <family val="2"/>
      </rPr>
      <t xml:space="preserve">※ 県営歌ヶ浜第一 大型駐車場 </t>
    </r>
    <r>
      <rPr>
        <sz val="10"/>
        <color rgb="FF333333"/>
        <rFont val="微軟正黑體"/>
        <family val="0"/>
        <charset val="1"/>
      </rPr>
      <t xml:space="preserve">(500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</si>
  <si>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立木観音→中禪寺→菖蒲濱→大使館　※ 船班時間固定，每小時一班，此區間</t>
    </r>
    <r>
      <rPr>
        <sz val="10"/>
        <color rgb="FF333333"/>
        <rFont val="微軟正黑體"/>
        <family val="0"/>
        <charset val="1"/>
      </rPr>
      <t xml:space="preserve">1600</t>
    </r>
    <r>
      <rPr>
        <sz val="10"/>
        <color rgb="FF333333"/>
        <rFont val="Noto Sans CJK SC"/>
        <family val="2"/>
      </rPr>
      <t xml:space="preserve">円</t>
    </r>
  </si>
  <si>
    <t xml:space="preserve">大使館公園→立木観音碼頭　※ 大使館別荘記念公園不能開車進</t>
  </si>
  <si>
    <r>
      <rPr>
        <sz val="10"/>
        <color rgb="FF333333"/>
        <rFont val="Noto Sans CJK SC"/>
        <family val="2"/>
      </rPr>
      <t xml:space="preserve">日光山 中禅寺（立木観音）　※ 拜觀券</t>
    </r>
    <r>
      <rPr>
        <sz val="10"/>
        <color rgb="FF333333"/>
        <rFont val="微軟正黑體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円</t>
    </r>
  </si>
  <si>
    <t xml:space="preserve">※ 觀景台停車場</t>
  </si>
  <si>
    <r>
      <rPr>
        <sz val="10"/>
        <color rgb="FF333333"/>
        <rFont val="Noto Sans CJK SC"/>
        <family val="2"/>
      </rPr>
      <t xml:space="preserve">半月山展望台　※ 海拔</t>
    </r>
    <r>
      <rPr>
        <sz val="10"/>
        <color rgb="FF333333"/>
        <rFont val="微軟正黑體"/>
        <family val="0"/>
        <charset val="1"/>
      </rPr>
      <t xml:space="preserve">1500</t>
    </r>
    <r>
      <rPr>
        <sz val="10"/>
        <color rgb="FF333333"/>
        <rFont val="Noto Sans CJK SC"/>
        <family val="2"/>
      </rPr>
      <t xml:space="preserve">公尺</t>
    </r>
  </si>
  <si>
    <t xml:space="preserve">※ 竜頭滝駐車場</t>
  </si>
  <si>
    <r>
      <rPr>
        <sz val="10"/>
        <color rgb="FF333333"/>
        <rFont val="Noto Sans CJK SC"/>
        <family val="2"/>
      </rPr>
      <t xml:space="preserve">※ 飯店門口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前門</t>
    </r>
    <r>
      <rPr>
        <sz val="10"/>
        <color rgb="FF333333"/>
        <rFont val="微軟正黑體"/>
        <family val="0"/>
        <charset val="1"/>
      </rPr>
      <t xml:space="preserve">3 &amp; </t>
    </r>
    <r>
      <rPr>
        <sz val="10"/>
        <color rgb="FF333333"/>
        <rFont val="Noto Sans CJK SC"/>
        <family val="2"/>
      </rPr>
      <t xml:space="preserve">後門</t>
    </r>
    <r>
      <rPr>
        <sz val="10"/>
        <color rgb="FF333333"/>
        <rFont val="微軟正黑體"/>
        <family val="0"/>
        <charset val="1"/>
      </rPr>
      <t xml:space="preserve">4)</t>
    </r>
  </si>
  <si>
    <t xml:space="preserve">※ 三本松園地駐車場</t>
  </si>
  <si>
    <t xml:space="preserve">戦場ヶ原展望台　※ 如果有熊害，改成在飯店附近</t>
  </si>
  <si>
    <r>
      <rPr>
        <sz val="10"/>
        <color rgb="FF333333"/>
        <rFont val="Noto Sans CJK SC"/>
        <family val="2"/>
      </rPr>
      <t xml:space="preserve">旅籠 </t>
    </r>
    <r>
      <rPr>
        <sz val="10"/>
        <color rgb="FF333333"/>
        <rFont val="微軟正黑體"/>
        <family val="0"/>
        <charset val="1"/>
      </rPr>
      <t xml:space="preserve">Nagomi</t>
    </r>
    <r>
      <rPr>
        <sz val="10"/>
        <color rgb="FF333333"/>
        <rFont val="Noto Sans CJK SC"/>
        <family val="2"/>
      </rPr>
      <t xml:space="preserve">　※ 奧日光沒有便利商店</t>
    </r>
  </si>
  <si>
    <r>
      <rPr>
        <b val="true"/>
        <sz val="16"/>
        <color rgb="FF1F3864"/>
        <rFont val="Noto Sans CJK SC"/>
        <family val="2"/>
      </rPr>
      <t xml:space="preserve">第 </t>
    </r>
    <r>
      <rPr>
        <b val="true"/>
        <sz val="16"/>
        <color rgb="FF1F3864"/>
        <rFont val="微軟正黑體"/>
        <family val="0"/>
        <charset val="1"/>
      </rPr>
      <t xml:space="preserve">6 </t>
    </r>
    <r>
      <rPr>
        <b val="true"/>
        <sz val="16"/>
        <color rgb="FF1F3864"/>
        <rFont val="Noto Sans CJK SC"/>
        <family val="2"/>
      </rPr>
      <t xml:space="preserve">天　</t>
    </r>
    <r>
      <rPr>
        <b val="true"/>
        <sz val="16"/>
        <color rgb="FF1F3864"/>
        <rFont val="微軟正黑體"/>
        <family val="0"/>
        <charset val="1"/>
      </rPr>
      <t xml:space="preserve">2026/04/23</t>
    </r>
    <r>
      <rPr>
        <b val="true"/>
        <sz val="16"/>
        <color rgb="FF1F3864"/>
        <rFont val="Noto Sans CJK SC"/>
        <family val="2"/>
      </rPr>
      <t xml:space="preserve">（四）</t>
    </r>
  </si>
  <si>
    <r>
      <rPr>
        <sz val="10"/>
        <color rgb="FF333333"/>
        <rFont val="Noto Sans CJK SC"/>
        <family val="2"/>
      </rPr>
      <t xml:space="preserve">※ 日光二荒山神社 本社駐車場 </t>
    </r>
    <r>
      <rPr>
        <sz val="10"/>
        <color rgb="FF333333"/>
        <rFont val="微軟正黑體"/>
        <family val="0"/>
        <charset val="1"/>
      </rPr>
      <t xml:space="preserve">700</t>
    </r>
    <r>
      <rPr>
        <sz val="10"/>
        <color rgb="FF333333"/>
        <rFont val="Noto Sans CJK SC"/>
        <family val="2"/>
      </rPr>
      <t xml:space="preserve">円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次</t>
    </r>
  </si>
  <si>
    <r>
      <rPr>
        <sz val="10"/>
        <color rgb="FF333333"/>
        <rFont val="Noto Sans CJK SC"/>
        <family val="2"/>
      </rPr>
      <t xml:space="preserve">日光山輪王寺大猷院 </t>
    </r>
    <r>
      <rPr>
        <sz val="10"/>
        <color rgb="FF333333"/>
        <rFont val="微軟正黑體"/>
        <family val="0"/>
        <charset val="1"/>
      </rPr>
      <t xml:space="preserve">08:00-17:00</t>
    </r>
    <r>
      <rPr>
        <sz val="10"/>
        <color rgb="FF333333"/>
        <rFont val="Noto Sans CJK SC"/>
        <family val="2"/>
      </rPr>
      <t xml:space="preserve">　※ 輪王寺套票（三佛堂</t>
    </r>
    <r>
      <rPr>
        <sz val="10"/>
        <color rgb="FF333333"/>
        <rFont val="微軟正黑體"/>
        <family val="0"/>
        <charset val="1"/>
      </rPr>
      <t xml:space="preserve">&amp;</t>
    </r>
    <r>
      <rPr>
        <sz val="10"/>
        <color rgb="FF333333"/>
        <rFont val="Noto Sans CJK SC"/>
        <family val="2"/>
      </rPr>
      <t xml:space="preserve">大猷院）</t>
    </r>
    <r>
      <rPr>
        <sz val="10"/>
        <color rgb="FF333333"/>
        <rFont val="微軟正黑體"/>
        <family val="0"/>
        <charset val="1"/>
      </rPr>
      <t xml:space="preserve">900</t>
    </r>
    <r>
      <rPr>
        <sz val="10"/>
        <color rgb="FF333333"/>
        <rFont val="Noto Sans CJK SC"/>
        <family val="2"/>
      </rPr>
      <t xml:space="preserve">円</t>
    </r>
  </si>
  <si>
    <r>
      <rPr>
        <sz val="10"/>
        <color rgb="FF333333"/>
        <rFont val="Noto Sans CJK SC"/>
        <family val="2"/>
      </rPr>
      <t xml:space="preserve">日光二荒山神社 </t>
    </r>
    <r>
      <rPr>
        <sz val="10"/>
        <color rgb="FF333333"/>
        <rFont val="微軟正黑體"/>
        <family val="0"/>
        <charset val="1"/>
      </rPr>
      <t xml:space="preserve">08:30-17:00</t>
    </r>
    <r>
      <rPr>
        <sz val="10"/>
        <color rgb="FF333333"/>
        <rFont val="Noto Sans CJK SC"/>
        <family val="2"/>
      </rPr>
      <t xml:space="preserve">　※ 看神木不需要進入付費的「神苑」</t>
    </r>
  </si>
  <si>
    <r>
      <rPr>
        <sz val="10"/>
        <color rgb="FF333333"/>
        <rFont val="Noto Sans CJK SC"/>
        <family val="2"/>
      </rPr>
      <t xml:space="preserve">日光東照宮 </t>
    </r>
    <r>
      <rPr>
        <sz val="10"/>
        <color rgb="FF333333"/>
        <rFont val="微軟正黑體"/>
        <family val="0"/>
        <charset val="1"/>
      </rPr>
      <t xml:space="preserve">09:00-17:00 &amp; </t>
    </r>
    <r>
      <rPr>
        <sz val="10"/>
        <color rgb="FF333333"/>
        <rFont val="Noto Sans CJK SC"/>
        <family val="2"/>
      </rPr>
      <t xml:space="preserve">奧宮（家康之墓）　※ 拜觀券</t>
    </r>
    <r>
      <rPr>
        <sz val="10"/>
        <color rgb="FF333333"/>
        <rFont val="微軟正黑體"/>
        <family val="0"/>
        <charset val="1"/>
      </rPr>
      <t xml:space="preserve">1600</t>
    </r>
    <r>
      <rPr>
        <sz val="10"/>
        <color rgb="FF333333"/>
        <rFont val="Noto Sans CJK SC"/>
        <family val="2"/>
      </rPr>
      <t xml:space="preserve">円，陽明門、拜殿、眠貓</t>
    </r>
  </si>
  <si>
    <r>
      <rPr>
        <sz val="10"/>
        <color rgb="FF333333"/>
        <rFont val="Noto Sans CJK SC"/>
        <family val="2"/>
      </rPr>
      <t xml:space="preserve">大護摩堂 </t>
    </r>
    <r>
      <rPr>
        <sz val="10"/>
        <color rgb="FF333333"/>
        <rFont val="微軟正黑體"/>
        <family val="0"/>
        <charset val="1"/>
      </rPr>
      <t xml:space="preserve">08:00-17:00</t>
    </r>
    <r>
      <rPr>
        <sz val="10"/>
        <color rgb="FF333333"/>
        <rFont val="Noto Sans CJK SC"/>
        <family val="2"/>
      </rPr>
      <t xml:space="preserve">　※ 護摩祈願開始時間</t>
    </r>
    <r>
      <rPr>
        <sz val="10"/>
        <color rgb="FF333333"/>
        <rFont val="微軟正黑體"/>
        <family val="0"/>
        <charset val="1"/>
      </rPr>
      <t xml:space="preserve">7:30 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軟正黑體"/>
        <family val="0"/>
        <charset val="1"/>
      </rPr>
      <t xml:space="preserve">9:30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軟正黑體"/>
        <family val="0"/>
        <charset val="1"/>
      </rPr>
      <t xml:space="preserve">11:00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微軟正黑體"/>
        <family val="0"/>
        <charset val="1"/>
      </rPr>
      <t xml:space="preserve">12:30</t>
    </r>
    <r>
      <rPr>
        <sz val="10"/>
        <color rgb="FF333333"/>
        <rFont val="Noto Sans CJK SC"/>
        <family val="2"/>
      </rPr>
      <t xml:space="preserve">、 </t>
    </r>
    <r>
      <rPr>
        <sz val="10"/>
        <color rgb="FF333333"/>
        <rFont val="微軟正黑體"/>
        <family val="0"/>
        <charset val="1"/>
      </rPr>
      <t xml:space="preserve">14:00</t>
    </r>
  </si>
  <si>
    <r>
      <rPr>
        <sz val="10"/>
        <color rgb="FF333333"/>
        <rFont val="Noto Sans CJK SC"/>
        <family val="2"/>
      </rPr>
      <t xml:space="preserve">日光山輪王寺（三佛堂） </t>
    </r>
    <r>
      <rPr>
        <sz val="10"/>
        <color rgb="FF333333"/>
        <rFont val="微軟正黑體"/>
        <family val="0"/>
        <charset val="1"/>
      </rPr>
      <t xml:space="preserve">08:00-17:00</t>
    </r>
    <r>
      <rPr>
        <sz val="10"/>
        <color rgb="FF333333"/>
        <rFont val="Noto Sans CJK SC"/>
        <family val="2"/>
      </rPr>
      <t xml:space="preserve">　※ 輪王寺套票（三佛堂</t>
    </r>
    <r>
      <rPr>
        <sz val="10"/>
        <color rgb="FF333333"/>
        <rFont val="微軟正黑體"/>
        <family val="0"/>
        <charset val="1"/>
      </rPr>
      <t xml:space="preserve">&amp;</t>
    </r>
    <r>
      <rPr>
        <sz val="10"/>
        <color rgb="FF333333"/>
        <rFont val="Noto Sans CJK SC"/>
        <family val="2"/>
      </rPr>
      <t xml:space="preserve">大猷院）</t>
    </r>
    <r>
      <rPr>
        <sz val="10"/>
        <color rgb="FF333333"/>
        <rFont val="微軟正黑體"/>
        <family val="0"/>
        <charset val="1"/>
      </rPr>
      <t xml:space="preserve">900</t>
    </r>
    <r>
      <rPr>
        <sz val="10"/>
        <color rgb="FF333333"/>
        <rFont val="Noto Sans CJK SC"/>
        <family val="2"/>
      </rPr>
      <t xml:space="preserve">円</t>
    </r>
  </si>
  <si>
    <r>
      <rPr>
        <sz val="10"/>
        <color rgb="FF333333"/>
        <rFont val="Noto Sans CJK SC"/>
        <family val="2"/>
      </rPr>
      <t xml:space="preserve">金谷飯店烘焙坊 神橋店 </t>
    </r>
    <r>
      <rPr>
        <sz val="10"/>
        <color rgb="FF333333"/>
        <rFont val="微軟正黑體"/>
        <family val="0"/>
        <charset val="1"/>
      </rPr>
      <t xml:space="preserve">10:00-17:00</t>
    </r>
    <r>
      <rPr>
        <sz val="10"/>
        <color rgb="FF333333"/>
        <rFont val="Noto Sans CJK SC"/>
        <family val="2"/>
      </rPr>
      <t xml:space="preserve">　※ 皇家吐司、百年咖哩麵包、起司麵包棒</t>
    </r>
  </si>
  <si>
    <t xml:space="preserve">　└ 續上（順路店家）</t>
  </si>
  <si>
    <r>
      <rPr>
        <sz val="10"/>
        <color rgb="FF333333"/>
        <rFont val="Noto Sans CJK SC"/>
        <family val="2"/>
      </rPr>
      <t xml:space="preserve">やまとなでしこ </t>
    </r>
    <r>
      <rPr>
        <sz val="10"/>
        <color rgb="FF333333"/>
        <rFont val="微軟正黑體"/>
        <family val="0"/>
        <charset val="1"/>
      </rPr>
      <t xml:space="preserve">12:00-18:00 (</t>
    </r>
    <r>
      <rPr>
        <sz val="10"/>
        <color rgb="FF333333"/>
        <rFont val="Noto Sans CJK SC"/>
        <family val="2"/>
      </rPr>
      <t xml:space="preserve">拉麵店</t>
    </r>
    <r>
      <rPr>
        <sz val="10"/>
        <color rgb="FF333333"/>
        <rFont val="微軟正黑體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　※ 餛飩豆皮控肉拉麵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招牌</t>
    </r>
    <r>
      <rPr>
        <sz val="10"/>
        <color rgb="FF333333"/>
        <rFont val="微軟正黑體"/>
        <family val="0"/>
        <charset val="1"/>
      </rPr>
      <t xml:space="preserve">) =&gt; </t>
    </r>
    <r>
      <rPr>
        <sz val="10"/>
        <color rgb="FF333333"/>
        <rFont val="Noto Sans CJK SC"/>
        <family val="2"/>
      </rPr>
      <t xml:space="preserve">吃湯波卷</t>
    </r>
  </si>
  <si>
    <r>
      <rPr>
        <sz val="10"/>
        <color rgb="FF333333"/>
        <rFont val="Noto Sans CJK SC"/>
        <family val="2"/>
      </rPr>
      <t xml:space="preserve">日光</t>
    </r>
    <r>
      <rPr>
        <sz val="10"/>
        <color rgb="FF333333"/>
        <rFont val="微軟正黑體"/>
        <family val="0"/>
        <charset val="1"/>
      </rPr>
      <t xml:space="preserve">Sakaeya </t>
    </r>
    <r>
      <rPr>
        <sz val="10"/>
        <color rgb="FF333333"/>
        <rFont val="Noto Sans CJK SC"/>
        <family val="2"/>
      </rPr>
      <t xml:space="preserve">炸湯波饅頭本舖 </t>
    </r>
    <r>
      <rPr>
        <sz val="10"/>
        <color rgb="FF333333"/>
        <rFont val="微軟正黑體"/>
        <family val="0"/>
        <charset val="1"/>
      </rPr>
      <t xml:space="preserve">09:30-17:00</t>
    </r>
    <r>
      <rPr>
        <sz val="10"/>
        <color rgb="FF333333"/>
        <rFont val="Noto Sans CJK SC"/>
        <family val="2"/>
      </rPr>
      <t xml:space="preserve">　※ 炸饅頭</t>
    </r>
  </si>
  <si>
    <r>
      <rPr>
        <sz val="10"/>
        <color rgb="FF333333"/>
        <rFont val="Noto Sans CJK SC"/>
        <family val="2"/>
      </rPr>
      <t xml:space="preserve">日光布丁亭 日光本店 </t>
    </r>
    <r>
      <rPr>
        <sz val="10"/>
        <color rgb="FF333333"/>
        <rFont val="微軟正黑體"/>
        <family val="0"/>
        <charset val="1"/>
      </rPr>
      <t xml:space="preserve">10:00-17:00</t>
    </r>
    <r>
      <rPr>
        <sz val="10"/>
        <color rgb="FF333333"/>
        <rFont val="Noto Sans CJK SC"/>
        <family val="2"/>
      </rPr>
      <t xml:space="preserve">　※ 原味布丁、布丁冰淇淋、雞蛋生布丁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限內用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</si>
  <si>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三福茶屋 </t>
    </r>
    <r>
      <rPr>
        <sz val="10"/>
        <color rgb="FF333333"/>
        <rFont val="微軟正黑體"/>
        <family val="0"/>
        <charset val="1"/>
      </rPr>
      <t xml:space="preserve">10:30-16:30</t>
    </r>
    <r>
      <rPr>
        <sz val="10"/>
        <color rgb="FF333333"/>
        <rFont val="Noto Sans CJK SC"/>
        <family val="2"/>
      </rPr>
      <t xml:space="preserve">　※ 醬油糰子</t>
    </r>
  </si>
  <si>
    <r>
      <rPr>
        <sz val="10"/>
        <color rgb="FF333333"/>
        <rFont val="Noto Sans CJK SC"/>
        <family val="2"/>
      </rPr>
      <t xml:space="preserve">鬼平（きびら）の羊羮本舗 </t>
    </r>
    <r>
      <rPr>
        <sz val="10"/>
        <color rgb="FF333333"/>
        <rFont val="微軟正黑體"/>
        <family val="0"/>
        <charset val="1"/>
      </rPr>
      <t xml:space="preserve">08:30-17:00</t>
    </r>
    <r>
      <rPr>
        <sz val="10"/>
        <color rgb="FF333333"/>
        <rFont val="Noto Sans CJK SC"/>
        <family val="2"/>
      </rPr>
      <t xml:space="preserve">　※ 水羊羹、栗子羊羹</t>
    </r>
  </si>
  <si>
    <r>
      <rPr>
        <sz val="10"/>
        <color rgb="FF333333"/>
        <rFont val="Noto Sans CJK SC"/>
        <family val="2"/>
      </rPr>
      <t xml:space="preserve">三山羊羹本舖 </t>
    </r>
    <r>
      <rPr>
        <sz val="10"/>
        <color rgb="FF333333"/>
        <rFont val="微軟正黑體"/>
        <family val="0"/>
        <charset val="1"/>
      </rPr>
      <t xml:space="preserve">08:00-18:30</t>
    </r>
    <r>
      <rPr>
        <sz val="10"/>
        <color rgb="FF333333"/>
        <rFont val="Noto Sans CJK SC"/>
        <family val="2"/>
      </rPr>
      <t xml:space="preserve">　※ 水羊羹</t>
    </r>
  </si>
  <si>
    <t xml:space="preserve">※ 足利花卉公園駐車場</t>
  </si>
  <si>
    <r>
      <rPr>
        <sz val="10"/>
        <color rgb="FF333333"/>
        <rFont val="Noto Sans CJK SC"/>
        <family val="2"/>
      </rPr>
      <t xml:space="preserve">足利花卉公園 </t>
    </r>
    <r>
      <rPr>
        <sz val="10"/>
        <color rgb="FF333333"/>
        <rFont val="微軟正黑體"/>
        <family val="0"/>
        <charset val="1"/>
      </rPr>
      <t xml:space="preserve">08:00-20:30</t>
    </r>
    <r>
      <rPr>
        <sz val="10"/>
        <color rgb="FF333333"/>
        <rFont val="Noto Sans CJK SC"/>
        <family val="2"/>
      </rPr>
      <t xml:space="preserve">　※ 門票</t>
    </r>
    <r>
      <rPr>
        <sz val="10"/>
        <color rgb="FF333333"/>
        <rFont val="微軟正黑體"/>
        <family val="0"/>
        <charset val="1"/>
      </rPr>
      <t xml:space="preserve">1200-2300</t>
    </r>
    <r>
      <rPr>
        <sz val="10"/>
        <color rgb="FF333333"/>
        <rFont val="Noto Sans CJK SC"/>
        <family val="2"/>
      </rPr>
      <t xml:space="preserve">円、</t>
    </r>
    <r>
      <rPr>
        <sz val="10"/>
        <color rgb="FF333333"/>
        <rFont val="微軟正黑體"/>
        <family val="0"/>
        <charset val="1"/>
      </rPr>
      <t xml:space="preserve">17:30</t>
    </r>
    <r>
      <rPr>
        <sz val="10"/>
        <color rgb="FF333333"/>
        <rFont val="Noto Sans CJK SC"/>
        <family val="2"/>
      </rPr>
      <t xml:space="preserve">點燈</t>
    </r>
  </si>
  <si>
    <t xml:space="preserve">※ 織姫公園駐車場</t>
  </si>
  <si>
    <t xml:space="preserve">※ 店家停車位</t>
  </si>
  <si>
    <t xml:space="preserve">※ 飯店停車位</t>
  </si>
  <si>
    <r>
      <rPr>
        <b val="true"/>
        <sz val="16"/>
        <color rgb="FF1F3864"/>
        <rFont val="Noto Sans CJK SC"/>
        <family val="2"/>
      </rPr>
      <t xml:space="preserve">第 </t>
    </r>
    <r>
      <rPr>
        <b val="true"/>
        <sz val="16"/>
        <color rgb="FF1F3864"/>
        <rFont val="微軟正黑體"/>
        <family val="0"/>
        <charset val="1"/>
      </rPr>
      <t xml:space="preserve">7 </t>
    </r>
    <r>
      <rPr>
        <b val="true"/>
        <sz val="16"/>
        <color rgb="FF1F3864"/>
        <rFont val="Noto Sans CJK SC"/>
        <family val="2"/>
      </rPr>
      <t xml:space="preserve">天　</t>
    </r>
    <r>
      <rPr>
        <b val="true"/>
        <sz val="16"/>
        <color rgb="FF1F3864"/>
        <rFont val="微軟正黑體"/>
        <family val="0"/>
        <charset val="1"/>
      </rPr>
      <t xml:space="preserve">2026/04/24</t>
    </r>
    <r>
      <rPr>
        <b val="true"/>
        <sz val="16"/>
        <color rgb="FF1F3864"/>
        <rFont val="Noto Sans CJK SC"/>
        <family val="2"/>
      </rPr>
      <t xml:space="preserve">（五）</t>
    </r>
  </si>
  <si>
    <t xml:space="preserve">※ 織姫観光駐車場</t>
  </si>
  <si>
    <r>
      <rPr>
        <sz val="10"/>
        <color rgb="FF333333"/>
        <rFont val="Noto Sans CJK SC"/>
        <family val="2"/>
      </rPr>
      <t xml:space="preserve">※ 佐野厄除け大師無料駐車場 </t>
    </r>
    <r>
      <rPr>
        <sz val="10"/>
        <color rgb="FF333333"/>
        <rFont val="微軟正黑體"/>
        <family val="0"/>
        <charset val="1"/>
      </rPr>
      <t xml:space="preserve">No.18</t>
    </r>
  </si>
  <si>
    <t xml:space="preserve">佐野厄除大師（元三大師）　※ 本堂與金色裝飾、日本最大的梵鐘、買御守</t>
  </si>
  <si>
    <r>
      <rPr>
        <sz val="10"/>
        <color rgb="FF333333"/>
        <rFont val="Noto Sans CJK SC"/>
        <family val="2"/>
      </rPr>
      <t xml:space="preserve">館林市杜鵑花岡公園　※ 盛花期 </t>
    </r>
    <r>
      <rPr>
        <sz val="10"/>
        <color rgb="FF333333"/>
        <rFont val="微軟正黑體"/>
        <family val="0"/>
        <charset val="1"/>
      </rPr>
      <t xml:space="preserve">630</t>
    </r>
    <r>
      <rPr>
        <sz val="10"/>
        <color rgb="FF333333"/>
        <rFont val="Noto Sans CJK SC"/>
        <family val="2"/>
      </rPr>
      <t xml:space="preserve">円，初花期和盛花期後 </t>
    </r>
    <r>
      <rPr>
        <sz val="10"/>
        <color rgb="FF333333"/>
        <rFont val="微軟正黑體"/>
        <family val="0"/>
        <charset val="1"/>
      </rPr>
      <t xml:space="preserve">310</t>
    </r>
    <r>
      <rPr>
        <sz val="10"/>
        <color rgb="FF333333"/>
        <rFont val="Noto Sans CJK SC"/>
        <family val="2"/>
      </rPr>
      <t xml:space="preserve">円</t>
    </r>
  </si>
  <si>
    <r>
      <rPr>
        <sz val="10"/>
        <color rgb="FF333333"/>
        <rFont val="Noto Sans CJK SC"/>
        <family val="2"/>
      </rPr>
      <t xml:space="preserve">花山烏龍麵 本店 花山うどん 本店　※ </t>
    </r>
    <r>
      <rPr>
        <sz val="10"/>
        <color rgb="FF333333"/>
        <rFont val="微軟正黑體"/>
        <family val="0"/>
        <charset val="1"/>
      </rPr>
      <t xml:space="preserve">5</t>
    </r>
    <r>
      <rPr>
        <sz val="10"/>
        <color rgb="FF333333"/>
        <rFont val="Noto Sans CJK SC"/>
        <family val="2"/>
      </rPr>
      <t xml:space="preserve">公分超寬烏龍麵</t>
    </r>
  </si>
  <si>
    <r>
      <rPr>
        <sz val="10"/>
        <color rgb="FF333333"/>
        <rFont val="微軟正黑體"/>
        <family val="0"/>
        <charset val="1"/>
      </rPr>
      <t xml:space="preserve">※ ENEOS EneJet </t>
    </r>
    <r>
      <rPr>
        <sz val="10"/>
        <color rgb="FF333333"/>
        <rFont val="Noto Sans CJK SC"/>
        <family val="2"/>
      </rPr>
      <t xml:space="preserve">成田</t>
    </r>
    <r>
      <rPr>
        <sz val="10"/>
        <color rgb="FF333333"/>
        <rFont val="微軟正黑體"/>
        <family val="0"/>
        <charset val="1"/>
      </rPr>
      <t xml:space="preserve">SS</t>
    </r>
    <r>
      <rPr>
        <sz val="10"/>
        <color rgb="FF333333"/>
        <rFont val="Noto Sans CJK SC"/>
        <family val="2"/>
      </rPr>
      <t xml:space="preserve">／川久石油</t>
    </r>
  </si>
  <si>
    <r>
      <rPr>
        <sz val="10"/>
        <color rgb="FF333333"/>
        <rFont val="微軟正黑體"/>
        <family val="0"/>
        <charset val="1"/>
      </rPr>
      <t xml:space="preserve">Comfort Hotel </t>
    </r>
    <r>
      <rPr>
        <sz val="10"/>
        <color rgb="FF333333"/>
        <rFont val="Noto Sans CJK SC"/>
        <family val="2"/>
      </rPr>
      <t xml:space="preserve">成田　※ 開車丟人在飯店門前</t>
    </r>
  </si>
  <si>
    <r>
      <rPr>
        <sz val="10"/>
        <color rgb="FF333333"/>
        <rFont val="Noto Sans CJK SC"/>
        <family val="2"/>
      </rPr>
      <t xml:space="preserve">※ 上一班 </t>
    </r>
    <r>
      <rPr>
        <sz val="10"/>
        <color rgb="FF333333"/>
        <rFont val="微軟正黑體"/>
        <family val="0"/>
        <charset val="1"/>
      </rPr>
      <t xml:space="preserve">16:15 / </t>
    </r>
    <r>
      <rPr>
        <sz val="10"/>
        <color rgb="FF333333"/>
        <rFont val="Noto Sans CJK SC"/>
        <family val="2"/>
      </rPr>
      <t xml:space="preserve">下一班 </t>
    </r>
    <r>
      <rPr>
        <sz val="10"/>
        <color rgb="FF333333"/>
        <rFont val="微軟正黑體"/>
        <family val="0"/>
        <charset val="1"/>
      </rPr>
      <t xml:space="preserve">16:45</t>
    </r>
  </si>
  <si>
    <r>
      <rPr>
        <sz val="10"/>
        <color rgb="FF333333"/>
        <rFont val="Noto Sans CJK SC"/>
        <family val="2"/>
      </rPr>
      <t xml:space="preserve">永旺夢樂城 成田　※ </t>
    </r>
    <r>
      <rPr>
        <sz val="10"/>
        <color rgb="FF333333"/>
        <rFont val="微軟正黑體"/>
        <family val="0"/>
        <charset val="1"/>
      </rPr>
      <t xml:space="preserve">AEON TOWN </t>
    </r>
    <r>
      <rPr>
        <sz val="10"/>
        <color rgb="FF333333"/>
        <rFont val="Noto Sans CJK SC"/>
        <family val="2"/>
      </rPr>
      <t xml:space="preserve">成田富里</t>
    </r>
  </si>
  <si>
    <r>
      <rPr>
        <sz val="10"/>
        <color rgb="FF333333"/>
        <rFont val="Noto Sans CJK SC"/>
        <family val="2"/>
      </rPr>
      <t xml:space="preserve">※ 上一班 </t>
    </r>
    <r>
      <rPr>
        <sz val="10"/>
        <color rgb="FF333333"/>
        <rFont val="微軟正黑體"/>
        <family val="0"/>
        <charset val="1"/>
      </rPr>
      <t xml:space="preserve">08:33 / </t>
    </r>
    <r>
      <rPr>
        <sz val="10"/>
        <color rgb="FF333333"/>
        <rFont val="Noto Sans CJK SC"/>
        <family val="2"/>
      </rPr>
      <t xml:space="preserve">末班車 </t>
    </r>
    <r>
      <rPr>
        <sz val="10"/>
        <color rgb="FF333333"/>
        <rFont val="微軟正黑體"/>
        <family val="0"/>
        <charset val="1"/>
      </rPr>
      <t xml:space="preserve">21:59</t>
    </r>
  </si>
  <si>
    <r>
      <rPr>
        <b val="true"/>
        <sz val="16"/>
        <color rgb="FF1F3864"/>
        <rFont val="Noto Sans CJK SC"/>
        <family val="2"/>
      </rPr>
      <t xml:space="preserve">第 </t>
    </r>
    <r>
      <rPr>
        <b val="true"/>
        <sz val="16"/>
        <color rgb="FF1F3864"/>
        <rFont val="微軟正黑體"/>
        <family val="0"/>
        <charset val="1"/>
      </rPr>
      <t xml:space="preserve">8 </t>
    </r>
    <r>
      <rPr>
        <b val="true"/>
        <sz val="16"/>
        <color rgb="FF1F3864"/>
        <rFont val="Noto Sans CJK SC"/>
        <family val="2"/>
      </rPr>
      <t xml:space="preserve">天　</t>
    </r>
    <r>
      <rPr>
        <b val="true"/>
        <sz val="16"/>
        <color rgb="FF1F3864"/>
        <rFont val="微軟正黑體"/>
        <family val="0"/>
        <charset val="1"/>
      </rPr>
      <t xml:space="preserve">2026/04/25</t>
    </r>
    <r>
      <rPr>
        <b val="true"/>
        <sz val="16"/>
        <color rgb="FF1F3864"/>
        <rFont val="Noto Sans CJK SC"/>
        <family val="2"/>
      </rPr>
      <t xml:space="preserve">（六）</t>
    </r>
  </si>
  <si>
    <r>
      <rPr>
        <sz val="10"/>
        <color rgb="FF333333"/>
        <rFont val="Noto Sans CJK SC"/>
        <family val="2"/>
      </rPr>
      <t xml:space="preserve">成田山表參道　※ 走路</t>
    </r>
    <r>
      <rPr>
        <sz val="10"/>
        <color rgb="FF333333"/>
        <rFont val="微軟正黑體"/>
        <family val="0"/>
        <charset val="1"/>
      </rPr>
      <t xml:space="preserve">20</t>
    </r>
    <r>
      <rPr>
        <sz val="10"/>
        <color rgb="FF333333"/>
        <rFont val="Noto Sans CJK SC"/>
        <family val="2"/>
      </rPr>
      <t xml:space="preserve">分鐘 </t>
    </r>
    <r>
      <rPr>
        <sz val="10"/>
        <color rgb="FF333333"/>
        <rFont val="微軟正黑體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薬師堂公車站下車</t>
    </r>
  </si>
  <si>
    <t xml:space="preserve">成田山新勝寺　※ 「御護摩火供」儀式（通常每小時一場）</t>
  </si>
  <si>
    <r>
      <rPr>
        <sz val="10"/>
        <color rgb="FF333333"/>
        <rFont val="Noto Sans CJK SC"/>
        <family val="2"/>
      </rPr>
      <t xml:space="preserve">川豊本店 </t>
    </r>
    <r>
      <rPr>
        <sz val="10"/>
        <color rgb="FF333333"/>
        <rFont val="微軟正黑體"/>
        <family val="0"/>
        <charset val="1"/>
      </rPr>
      <t xml:space="preserve">(10:00-17:00)</t>
    </r>
    <r>
      <rPr>
        <sz val="10"/>
        <color rgb="FF333333"/>
        <rFont val="Noto Sans CJK SC"/>
        <family val="2"/>
      </rPr>
      <t xml:space="preserve">　※ 可能</t>
    </r>
    <r>
      <rPr>
        <sz val="10"/>
        <color rgb="FF333333"/>
        <rFont val="微軟正黑體"/>
        <family val="0"/>
        <charset val="1"/>
      </rPr>
      <t xml:space="preserve">09:30</t>
    </r>
    <r>
      <rPr>
        <sz val="10"/>
        <color rgb="FF333333"/>
        <rFont val="Noto Sans CJK SC"/>
        <family val="2"/>
      </rPr>
      <t xml:space="preserve">領券、</t>
    </r>
    <r>
      <rPr>
        <sz val="10"/>
        <color rgb="FF333333"/>
        <rFont val="微軟正黑體"/>
        <family val="0"/>
        <charset val="1"/>
      </rPr>
      <t xml:space="preserve">10:20</t>
    </r>
    <r>
      <rPr>
        <sz val="10"/>
        <color rgb="FF333333"/>
        <rFont val="Noto Sans CJK SC"/>
        <family val="2"/>
      </rPr>
      <t xml:space="preserve">入座，店門口有自動發券機，或改外帶，只收現金</t>
    </r>
  </si>
  <si>
    <r>
      <rPr>
        <sz val="10"/>
        <color rgb="FF333333"/>
        <rFont val="Noto Sans CJK SC"/>
        <family val="2"/>
      </rPr>
      <t xml:space="preserve">鰻魚 駿河屋 </t>
    </r>
    <r>
      <rPr>
        <sz val="10"/>
        <color rgb="FF333333"/>
        <rFont val="微軟正黑體"/>
        <family val="0"/>
        <charset val="1"/>
      </rPr>
      <t xml:space="preserve">(11:00-16:00)</t>
    </r>
    <r>
      <rPr>
        <sz val="10"/>
        <color rgb="FF333333"/>
        <rFont val="Noto Sans CJK SC"/>
        <family val="2"/>
      </rPr>
      <t xml:space="preserve">　※ 可能</t>
    </r>
    <r>
      <rPr>
        <sz val="10"/>
        <color rgb="FF333333"/>
        <rFont val="微軟正黑體"/>
        <family val="0"/>
        <charset val="1"/>
      </rPr>
      <t xml:space="preserve">10:00</t>
    </r>
    <r>
      <rPr>
        <sz val="10"/>
        <color rgb="FF333333"/>
        <rFont val="Noto Sans CJK SC"/>
        <family val="2"/>
      </rPr>
      <t xml:space="preserve">領券、</t>
    </r>
    <r>
      <rPr>
        <sz val="10"/>
        <color rgb="FF333333"/>
        <rFont val="微軟正黑體"/>
        <family val="0"/>
        <charset val="1"/>
      </rPr>
      <t xml:space="preserve">11:20</t>
    </r>
    <r>
      <rPr>
        <sz val="10"/>
        <color rgb="FF333333"/>
        <rFont val="Noto Sans CJK SC"/>
        <family val="2"/>
      </rPr>
      <t xml:space="preserve">入座，或改外帶，只收現金</t>
    </r>
  </si>
  <si>
    <r>
      <rPr>
        <sz val="10"/>
        <color rgb="FF333333"/>
        <rFont val="Noto Sans CJK SC"/>
        <family val="2"/>
      </rPr>
      <t xml:space="preserve">京成成田→機場第二航廈　※ </t>
    </r>
    <r>
      <rPr>
        <sz val="10"/>
        <color rgb="FF333333"/>
        <rFont val="微軟正黑體"/>
        <family val="0"/>
        <charset val="1"/>
      </rPr>
      <t xml:space="preserve">13:39 </t>
    </r>
    <r>
      <rPr>
        <sz val="10"/>
        <color rgb="FF333333"/>
        <rFont val="Noto Sans CJK SC"/>
        <family val="2"/>
      </rPr>
      <t xml:space="preserve">京成本線 </t>
    </r>
    <r>
      <rPr>
        <sz val="10"/>
        <color rgb="FF333333"/>
        <rFont val="微軟正黑體"/>
        <family val="0"/>
        <charset val="1"/>
      </rPr>
      <t xml:space="preserve">/ 13:59 </t>
    </r>
    <r>
      <rPr>
        <sz val="10"/>
        <color rgb="FF333333"/>
        <rFont val="Noto Sans CJK SC"/>
        <family val="2"/>
      </rPr>
      <t xml:space="preserve">京成本線 </t>
    </r>
    <r>
      <rPr>
        <sz val="10"/>
        <color rgb="FF333333"/>
        <rFont val="微軟正黑體"/>
        <family val="0"/>
        <charset val="1"/>
      </rPr>
      <t xml:space="preserve">/ 14:19 </t>
    </r>
    <r>
      <rPr>
        <sz val="10"/>
        <color rgb="FF333333"/>
        <rFont val="Noto Sans CJK SC"/>
        <family val="2"/>
      </rPr>
      <t xml:space="preserve">京成本線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只能搭京成本線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</si>
  <si>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微軟正黑體"/>
        <family val="0"/>
        <charset val="1"/>
      </rPr>
      <t xml:space="preserve">JX803 (A350-900)</t>
    </r>
    <r>
      <rPr>
        <sz val="10"/>
        <color rgb="FF333333"/>
        <rFont val="Noto Sans CJK SC"/>
        <family val="2"/>
      </rPr>
      <t xml:space="preserve">　※ 飛行時間：</t>
    </r>
    <r>
      <rPr>
        <sz val="10"/>
        <color rgb="FF333333"/>
        <rFont val="微軟正黑體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小時</t>
    </r>
    <r>
      <rPr>
        <sz val="10"/>
        <color rgb="FF333333"/>
        <rFont val="微軟正黑體"/>
        <family val="0"/>
        <charset val="1"/>
      </rPr>
      <t xml:space="preserve">40</t>
    </r>
    <r>
      <rPr>
        <sz val="10"/>
        <color rgb="FF333333"/>
        <rFont val="Noto Sans CJK SC"/>
        <family val="2"/>
      </rPr>
      <t xml:space="preserve">分鐘</t>
    </r>
  </si>
  <si>
    <t xml:space="preserve">住宿總表</t>
  </si>
  <si>
    <r>
      <rPr>
        <sz val="9"/>
        <color rgb="FF808080"/>
        <rFont val="Noto Sans CJK SC"/>
        <family val="2"/>
      </rPr>
      <t xml:space="preserve">第 </t>
    </r>
    <r>
      <rPr>
        <sz val="9"/>
        <color rgb="FF808080"/>
        <rFont val="微軟正黑體"/>
        <family val="0"/>
        <charset val="1"/>
      </rPr>
      <t xml:space="preserve">2</t>
    </r>
    <r>
      <rPr>
        <sz val="9"/>
        <color rgb="FF808080"/>
        <rFont val="Noto Sans CJK SC"/>
        <family val="2"/>
      </rPr>
      <t xml:space="preserve">、</t>
    </r>
    <r>
      <rPr>
        <sz val="9"/>
        <color rgb="FF808080"/>
        <rFont val="微軟正黑體"/>
        <family val="0"/>
        <charset val="1"/>
      </rPr>
      <t xml:space="preserve">3 </t>
    </r>
    <r>
      <rPr>
        <sz val="9"/>
        <color rgb="FF808080"/>
        <rFont val="Noto Sans CJK SC"/>
        <family val="2"/>
      </rPr>
      <t xml:space="preserve">天同住とびた荘。台幣價格為每間住宿的總價，非每人。</t>
    </r>
  </si>
  <si>
    <t xml:space="preserve">項目</t>
  </si>
  <si>
    <r>
      <rPr>
        <b val="true"/>
        <sz val="11"/>
        <color rgb="FFFFFFFF"/>
        <rFont val="Noto Sans CJK SC"/>
        <family val="2"/>
      </rPr>
      <t xml:space="preserve">第 </t>
    </r>
    <r>
      <rPr>
        <b val="true"/>
        <sz val="11"/>
        <color rgb="FFFFFFFF"/>
        <rFont val="微軟正黑體"/>
        <family val="0"/>
        <charset val="1"/>
      </rPr>
      <t xml:space="preserve">1 </t>
    </r>
    <r>
      <rPr>
        <b val="true"/>
        <sz val="11"/>
        <color rgb="FFFFFFFF"/>
        <rFont val="Noto Sans CJK SC"/>
        <family val="2"/>
      </rPr>
      <t xml:space="preserve">天
</t>
    </r>
    <r>
      <rPr>
        <b val="true"/>
        <sz val="11"/>
        <color rgb="FFFFFFFF"/>
        <rFont val="微軟正黑體"/>
        <family val="0"/>
        <charset val="1"/>
      </rPr>
      <t xml:space="preserve">04/18</t>
    </r>
    <r>
      <rPr>
        <b val="true"/>
        <sz val="11"/>
        <color rgb="FFFFFFFF"/>
        <rFont val="Noto Sans CJK SC"/>
        <family val="2"/>
      </rPr>
      <t xml:space="preserve">（六）</t>
    </r>
  </si>
  <si>
    <r>
      <rPr>
        <b val="true"/>
        <sz val="11"/>
        <color rgb="FFFFFFFF"/>
        <rFont val="Noto Sans CJK SC"/>
        <family val="2"/>
      </rPr>
      <t xml:space="preserve">第 </t>
    </r>
    <r>
      <rPr>
        <b val="true"/>
        <sz val="11"/>
        <color rgb="FFFFFFFF"/>
        <rFont val="微軟正黑體"/>
        <family val="0"/>
        <charset val="1"/>
      </rPr>
      <t xml:space="preserve">2 </t>
    </r>
    <r>
      <rPr>
        <b val="true"/>
        <sz val="11"/>
        <color rgb="FFFFFFFF"/>
        <rFont val="Noto Sans CJK SC"/>
        <family val="2"/>
      </rPr>
      <t xml:space="preserve">天
</t>
    </r>
    <r>
      <rPr>
        <b val="true"/>
        <sz val="11"/>
        <color rgb="FFFFFFFF"/>
        <rFont val="微軟正黑體"/>
        <family val="0"/>
        <charset val="1"/>
      </rPr>
      <t xml:space="preserve">04/19</t>
    </r>
    <r>
      <rPr>
        <b val="true"/>
        <sz val="11"/>
        <color rgb="FFFFFFFF"/>
        <rFont val="Noto Sans CJK SC"/>
        <family val="2"/>
      </rPr>
      <t xml:space="preserve">（日）</t>
    </r>
  </si>
  <si>
    <r>
      <rPr>
        <b val="true"/>
        <sz val="11"/>
        <color rgb="FFFFFFFF"/>
        <rFont val="Noto Sans CJK SC"/>
        <family val="2"/>
      </rPr>
      <t xml:space="preserve">第 </t>
    </r>
    <r>
      <rPr>
        <b val="true"/>
        <sz val="11"/>
        <color rgb="FFFFFFFF"/>
        <rFont val="微軟正黑體"/>
        <family val="0"/>
        <charset val="1"/>
      </rPr>
      <t xml:space="preserve">3 </t>
    </r>
    <r>
      <rPr>
        <b val="true"/>
        <sz val="11"/>
        <color rgb="FFFFFFFF"/>
        <rFont val="Noto Sans CJK SC"/>
        <family val="2"/>
      </rPr>
      <t xml:space="preserve">天
</t>
    </r>
    <r>
      <rPr>
        <b val="true"/>
        <sz val="11"/>
        <color rgb="FFFFFFFF"/>
        <rFont val="微軟正黑體"/>
        <family val="0"/>
        <charset val="1"/>
      </rPr>
      <t xml:space="preserve">04/20</t>
    </r>
    <r>
      <rPr>
        <b val="true"/>
        <sz val="11"/>
        <color rgb="FFFFFFFF"/>
        <rFont val="Noto Sans CJK SC"/>
        <family val="2"/>
      </rPr>
      <t xml:space="preserve">（一）</t>
    </r>
  </si>
  <si>
    <r>
      <rPr>
        <b val="true"/>
        <sz val="11"/>
        <color rgb="FFFFFFFF"/>
        <rFont val="Noto Sans CJK SC"/>
        <family val="2"/>
      </rPr>
      <t xml:space="preserve">第 </t>
    </r>
    <r>
      <rPr>
        <b val="true"/>
        <sz val="11"/>
        <color rgb="FFFFFFFF"/>
        <rFont val="微軟正黑體"/>
        <family val="0"/>
        <charset val="1"/>
      </rPr>
      <t xml:space="preserve">4 </t>
    </r>
    <r>
      <rPr>
        <b val="true"/>
        <sz val="11"/>
        <color rgb="FFFFFFFF"/>
        <rFont val="Noto Sans CJK SC"/>
        <family val="2"/>
      </rPr>
      <t xml:space="preserve">天
</t>
    </r>
    <r>
      <rPr>
        <b val="true"/>
        <sz val="11"/>
        <color rgb="FFFFFFFF"/>
        <rFont val="微軟正黑體"/>
        <family val="0"/>
        <charset val="1"/>
      </rPr>
      <t xml:space="preserve">04/21</t>
    </r>
    <r>
      <rPr>
        <b val="true"/>
        <sz val="11"/>
        <color rgb="FFFFFFFF"/>
        <rFont val="Noto Sans CJK SC"/>
        <family val="2"/>
      </rPr>
      <t xml:space="preserve">（二）</t>
    </r>
  </si>
  <si>
    <r>
      <rPr>
        <b val="true"/>
        <sz val="11"/>
        <color rgb="FFFFFFFF"/>
        <rFont val="Noto Sans CJK SC"/>
        <family val="2"/>
      </rPr>
      <t xml:space="preserve">第 </t>
    </r>
    <r>
      <rPr>
        <b val="true"/>
        <sz val="11"/>
        <color rgb="FFFFFFFF"/>
        <rFont val="微軟正黑體"/>
        <family val="0"/>
        <charset val="1"/>
      </rPr>
      <t xml:space="preserve">5 </t>
    </r>
    <r>
      <rPr>
        <b val="true"/>
        <sz val="11"/>
        <color rgb="FFFFFFFF"/>
        <rFont val="Noto Sans CJK SC"/>
        <family val="2"/>
      </rPr>
      <t xml:space="preserve">天
</t>
    </r>
    <r>
      <rPr>
        <b val="true"/>
        <sz val="11"/>
        <color rgb="FFFFFFFF"/>
        <rFont val="微軟正黑體"/>
        <family val="0"/>
        <charset val="1"/>
      </rPr>
      <t xml:space="preserve">04/22</t>
    </r>
    <r>
      <rPr>
        <b val="true"/>
        <sz val="11"/>
        <color rgb="FFFFFFFF"/>
        <rFont val="Noto Sans CJK SC"/>
        <family val="2"/>
      </rPr>
      <t xml:space="preserve">（三）</t>
    </r>
  </si>
  <si>
    <r>
      <rPr>
        <b val="true"/>
        <sz val="11"/>
        <color rgb="FFFFFFFF"/>
        <rFont val="Noto Sans CJK SC"/>
        <family val="2"/>
      </rPr>
      <t xml:space="preserve">第 </t>
    </r>
    <r>
      <rPr>
        <b val="true"/>
        <sz val="11"/>
        <color rgb="FFFFFFFF"/>
        <rFont val="微軟正黑體"/>
        <family val="0"/>
        <charset val="1"/>
      </rPr>
      <t xml:space="preserve">6 </t>
    </r>
    <r>
      <rPr>
        <b val="true"/>
        <sz val="11"/>
        <color rgb="FFFFFFFF"/>
        <rFont val="Noto Sans CJK SC"/>
        <family val="2"/>
      </rPr>
      <t xml:space="preserve">天
</t>
    </r>
    <r>
      <rPr>
        <b val="true"/>
        <sz val="11"/>
        <color rgb="FFFFFFFF"/>
        <rFont val="微軟正黑體"/>
        <family val="0"/>
        <charset val="1"/>
      </rPr>
      <t xml:space="preserve">04/23</t>
    </r>
    <r>
      <rPr>
        <b val="true"/>
        <sz val="11"/>
        <color rgb="FFFFFFFF"/>
        <rFont val="Noto Sans CJK SC"/>
        <family val="2"/>
      </rPr>
      <t xml:space="preserve">（四）</t>
    </r>
  </si>
  <si>
    <r>
      <rPr>
        <b val="true"/>
        <sz val="11"/>
        <color rgb="FFFFFFFF"/>
        <rFont val="Noto Sans CJK SC"/>
        <family val="2"/>
      </rPr>
      <t xml:space="preserve">第 </t>
    </r>
    <r>
      <rPr>
        <b val="true"/>
        <sz val="11"/>
        <color rgb="FFFFFFFF"/>
        <rFont val="微軟正黑體"/>
        <family val="0"/>
        <charset val="1"/>
      </rPr>
      <t xml:space="preserve">7 </t>
    </r>
    <r>
      <rPr>
        <b val="true"/>
        <sz val="11"/>
        <color rgb="FFFFFFFF"/>
        <rFont val="Noto Sans CJK SC"/>
        <family val="2"/>
      </rPr>
      <t xml:space="preserve">天
</t>
    </r>
    <r>
      <rPr>
        <b val="true"/>
        <sz val="11"/>
        <color rgb="FFFFFFFF"/>
        <rFont val="微軟正黑體"/>
        <family val="0"/>
        <charset val="1"/>
      </rPr>
      <t xml:space="preserve">04/24</t>
    </r>
    <r>
      <rPr>
        <b val="true"/>
        <sz val="11"/>
        <color rgb="FFFFFFFF"/>
        <rFont val="Noto Sans CJK SC"/>
        <family val="2"/>
      </rPr>
      <t xml:space="preserve">（五）</t>
    </r>
  </si>
  <si>
    <r>
      <rPr>
        <b val="true"/>
        <sz val="11"/>
        <color rgb="FFFFFFFF"/>
        <rFont val="Noto Sans CJK SC"/>
        <family val="2"/>
      </rPr>
      <t xml:space="preserve">住宿合計
</t>
    </r>
    <r>
      <rPr>
        <b val="true"/>
        <sz val="11"/>
        <color rgb="FFFFFFFF"/>
        <rFont val="微軟正黑體"/>
        <family val="0"/>
        <charset val="1"/>
      </rPr>
      <t xml:space="preserve">(TWD)</t>
    </r>
  </si>
  <si>
    <t xml:space="preserve">住宿城市</t>
  </si>
  <si>
    <t xml:space="preserve">茨城縣日立市</t>
  </si>
  <si>
    <t xml:space="preserve">茨城縣大洗町</t>
  </si>
  <si>
    <t xml:space="preserve">栃木縣日光市</t>
  </si>
  <si>
    <t xml:space="preserve">栃木縣足利市</t>
  </si>
  <si>
    <t xml:space="preserve">千葉縣成田市</t>
  </si>
  <si>
    <t xml:space="preserve">住宿區域</t>
  </si>
  <si>
    <t xml:space="preserve">日立市</t>
  </si>
  <si>
    <t xml:space="preserve">大洗</t>
  </si>
  <si>
    <t xml:space="preserve">日光</t>
  </si>
  <si>
    <t xml:space="preserve">奧日光</t>
  </si>
  <si>
    <t xml:space="preserve">足利市</t>
  </si>
  <si>
    <t xml:space="preserve">成田機場附近</t>
  </si>
  <si>
    <t xml:space="preserve">早餐</t>
  </si>
  <si>
    <t xml:space="preserve">有</t>
  </si>
  <si>
    <t xml:space="preserve">無</t>
  </si>
  <si>
    <t xml:space="preserve">可加購</t>
  </si>
  <si>
    <t xml:space="preserve">算是有</t>
  </si>
  <si>
    <r>
      <rPr>
        <sz val="10"/>
        <color rgb="FF333333"/>
        <rFont val="Noto Sans CJK SC"/>
        <family val="2"/>
      </rPr>
      <t xml:space="preserve">有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但不吃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</si>
  <si>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房型</t>
  </si>
  <si>
    <r>
      <rPr>
        <sz val="10"/>
        <color rgb="FF333333"/>
        <rFont val="Noto Sans CJK SC"/>
        <family val="2"/>
      </rPr>
      <t xml:space="preserve">家庭房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雙床</t>
    </r>
    <r>
      <rPr>
        <sz val="10"/>
        <color rgb="FF333333"/>
        <rFont val="微軟正黑體"/>
        <family val="0"/>
        <charset val="1"/>
      </rPr>
      <t xml:space="preserve">1 &amp; </t>
    </r>
    <r>
      <rPr>
        <sz val="10"/>
        <color rgb="FF333333"/>
        <rFont val="Noto Sans CJK SC"/>
        <family val="2"/>
      </rPr>
      <t xml:space="preserve">榻榻米</t>
    </r>
    <r>
      <rPr>
        <sz val="10"/>
        <color rgb="FF333333"/>
        <rFont val="微軟正黑體"/>
        <family val="0"/>
        <charset val="1"/>
      </rPr>
      <t xml:space="preserve">2)</t>
    </r>
  </si>
  <si>
    <r>
      <rPr>
        <sz val="10"/>
        <color rgb="FF333333"/>
        <rFont val="Noto Sans CJK SC"/>
        <family val="2"/>
      </rPr>
      <t xml:space="preserve">公寓 </t>
    </r>
    <r>
      <rPr>
        <sz val="10"/>
        <color rgb="FF333333"/>
        <rFont val="微軟正黑體"/>
        <family val="0"/>
        <charset val="1"/>
      </rPr>
      <t xml:space="preserve">(3</t>
    </r>
    <r>
      <rPr>
        <sz val="10"/>
        <color rgb="FF333333"/>
        <rFont val="Noto Sans CJK SC"/>
        <family val="2"/>
      </rPr>
      <t xml:space="preserve">雙床房</t>
    </r>
    <r>
      <rPr>
        <sz val="10"/>
        <color rgb="FF333333"/>
        <rFont val="微軟正黑體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</si>
  <si>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雙床</t>
    </r>
    <r>
      <rPr>
        <sz val="10"/>
        <color rgb="FF333333"/>
        <rFont val="微軟正黑體"/>
        <family val="0"/>
        <charset val="1"/>
      </rPr>
      <t xml:space="preserve">2</t>
    </r>
  </si>
  <si>
    <t xml:space="preserve">私人廁所、共用澡堂</t>
  </si>
  <si>
    <t xml:space="preserve">可洗脫烘衣服</t>
  </si>
  <si>
    <t xml:space="preserve">免費取消</t>
  </si>
  <si>
    <r>
      <rPr>
        <sz val="10"/>
        <color rgb="FF333333"/>
        <rFont val="微軟正黑體"/>
        <family val="0"/>
        <charset val="1"/>
      </rPr>
      <t xml:space="preserve">4/16 </t>
    </r>
    <r>
      <rPr>
        <sz val="10"/>
        <color rgb="FF333333"/>
        <rFont val="Noto Sans CJK SC"/>
        <family val="2"/>
      </rPr>
      <t xml:space="preserve">前</t>
    </r>
  </si>
  <si>
    <r>
      <rPr>
        <sz val="10"/>
        <color rgb="FF333333"/>
        <rFont val="微軟正黑體"/>
        <family val="0"/>
        <charset val="1"/>
      </rPr>
      <t xml:space="preserve">4/15 </t>
    </r>
    <r>
      <rPr>
        <sz val="10"/>
        <color rgb="FF333333"/>
        <rFont val="Noto Sans CJK SC"/>
        <family val="2"/>
      </rPr>
      <t xml:space="preserve">前</t>
    </r>
  </si>
  <si>
    <r>
      <rPr>
        <sz val="10"/>
        <color rgb="FF333333"/>
        <rFont val="微軟正黑體"/>
        <family val="0"/>
        <charset val="1"/>
      </rPr>
      <t xml:space="preserve">4/17 </t>
    </r>
    <r>
      <rPr>
        <sz val="10"/>
        <color rgb="FF333333"/>
        <rFont val="Noto Sans CJK SC"/>
        <family val="2"/>
      </rPr>
      <t xml:space="preserve">前</t>
    </r>
  </si>
  <si>
    <r>
      <rPr>
        <sz val="10"/>
        <color rgb="FF333333"/>
        <rFont val="微軟正黑體"/>
        <family val="0"/>
        <charset val="1"/>
      </rPr>
      <t xml:space="preserve">4/21 </t>
    </r>
    <r>
      <rPr>
        <sz val="10"/>
        <color rgb="FF333333"/>
        <rFont val="Noto Sans CJK SC"/>
        <family val="2"/>
      </rPr>
      <t xml:space="preserve">前</t>
    </r>
  </si>
  <si>
    <r>
      <rPr>
        <sz val="10"/>
        <color rgb="FF333333"/>
        <rFont val="微軟正黑體"/>
        <family val="0"/>
        <charset val="1"/>
      </rPr>
      <t xml:space="preserve">4/19 </t>
    </r>
    <r>
      <rPr>
        <sz val="10"/>
        <color rgb="FF333333"/>
        <rFont val="Noto Sans CJK SC"/>
        <family val="2"/>
      </rPr>
      <t xml:space="preserve">前</t>
    </r>
  </si>
  <si>
    <t xml:space="preserve">台幣價格</t>
  </si>
  <si>
    <t xml:space="preserve">訂房人</t>
  </si>
  <si>
    <t xml:space="preserve">Alex</t>
  </si>
  <si>
    <t xml:space="preserve">Ken</t>
  </si>
  <si>
    <t xml:space="preserve">訂房平台</t>
  </si>
  <si>
    <t xml:space="preserve">Booking</t>
  </si>
  <si>
    <t xml:space="preserve">Agoda</t>
  </si>
  <si>
    <r>
      <rPr>
        <sz val="9"/>
        <color rgb="FF808080"/>
        <rFont val="Noto Sans CJK SC"/>
        <family val="2"/>
      </rPr>
      <t xml:space="preserve">※ 第 </t>
    </r>
    <r>
      <rPr>
        <sz val="9"/>
        <color rgb="FF808080"/>
        <rFont val="微軟正黑體"/>
        <family val="0"/>
        <charset val="1"/>
      </rPr>
      <t xml:space="preserve">2-3 </t>
    </r>
    <r>
      <rPr>
        <sz val="9"/>
        <color rgb="FF808080"/>
        <rFont val="Noto Sans CJK SC"/>
        <family val="2"/>
      </rPr>
      <t xml:space="preserve">天為同一筆訂房（とびた荘，共兩晚 </t>
    </r>
    <r>
      <rPr>
        <sz val="9"/>
        <color rgb="FF808080"/>
        <rFont val="微軟正黑體"/>
        <family val="0"/>
        <charset val="1"/>
      </rPr>
      <t xml:space="preserve">8,891 </t>
    </r>
    <r>
      <rPr>
        <sz val="9"/>
        <color rgb="FF808080"/>
        <rFont val="Noto Sans CJK SC"/>
        <family val="2"/>
      </rPr>
      <t xml:space="preserve">元），金額僅列於第 </t>
    </r>
    <r>
      <rPr>
        <sz val="9"/>
        <color rgb="FF808080"/>
        <rFont val="微軟正黑體"/>
        <family val="0"/>
        <charset val="1"/>
      </rPr>
      <t xml:space="preserve">2 </t>
    </r>
    <r>
      <rPr>
        <sz val="9"/>
        <color rgb="FF808080"/>
        <rFont val="Noto Sans CJK SC"/>
        <family val="2"/>
      </rPr>
      <t xml:space="preserve">天，第 </t>
    </r>
    <r>
      <rPr>
        <sz val="9"/>
        <color rgb="FF808080"/>
        <rFont val="微軟正黑體"/>
        <family val="0"/>
        <charset val="1"/>
      </rPr>
      <t xml:space="preserve">3 </t>
    </r>
    <r>
      <rPr>
        <sz val="9"/>
        <color rgb="FF808080"/>
        <rFont val="Noto Sans CJK SC"/>
        <family val="2"/>
      </rPr>
      <t xml:space="preserve">天價格欄留空以免重複計算。</t>
    </r>
  </si>
  <si>
    <t xml:space="preserve">餐食總表</t>
  </si>
  <si>
    <r>
      <rPr>
        <sz val="9"/>
        <color rgb="FF808080"/>
        <rFont val="Noto Sans CJK SC"/>
        <family val="2"/>
      </rPr>
      <t xml:space="preserve">第 </t>
    </r>
    <r>
      <rPr>
        <sz val="9"/>
        <color rgb="FF808080"/>
        <rFont val="微軟正黑體"/>
        <family val="0"/>
        <charset val="1"/>
      </rPr>
      <t xml:space="preserve">4</t>
    </r>
    <r>
      <rPr>
        <sz val="9"/>
        <color rgb="FF808080"/>
        <rFont val="Noto Sans CJK SC"/>
        <family val="2"/>
      </rPr>
      <t xml:space="preserve">、</t>
    </r>
    <r>
      <rPr>
        <sz val="9"/>
        <color rgb="FF808080"/>
        <rFont val="微軟正黑體"/>
        <family val="0"/>
        <charset val="1"/>
      </rPr>
      <t xml:space="preserve">6 </t>
    </r>
    <r>
      <rPr>
        <sz val="9"/>
        <color rgb="FF808080"/>
        <rFont val="Noto Sans CJK SC"/>
        <family val="2"/>
      </rPr>
      <t xml:space="preserve">天的下午茶為多家店連續品嘗，逐項列於備註。</t>
    </r>
  </si>
  <si>
    <t xml:space="preserve">餐別</t>
  </si>
  <si>
    <r>
      <rPr>
        <b val="true"/>
        <sz val="11"/>
        <color rgb="FFFFFFFF"/>
        <rFont val="Noto Sans CJK SC"/>
        <family val="2"/>
      </rPr>
      <t xml:space="preserve">第 </t>
    </r>
    <r>
      <rPr>
        <b val="true"/>
        <sz val="11"/>
        <color rgb="FFFFFFFF"/>
        <rFont val="微軟正黑體"/>
        <family val="0"/>
        <charset val="1"/>
      </rPr>
      <t xml:space="preserve">8 </t>
    </r>
    <r>
      <rPr>
        <b val="true"/>
        <sz val="11"/>
        <color rgb="FFFFFFFF"/>
        <rFont val="Noto Sans CJK SC"/>
        <family val="2"/>
      </rPr>
      <t xml:space="preserve">天
</t>
    </r>
    <r>
      <rPr>
        <b val="true"/>
        <sz val="11"/>
        <color rgb="FFFFFFFF"/>
        <rFont val="微軟正黑體"/>
        <family val="0"/>
        <charset val="1"/>
      </rPr>
      <t xml:space="preserve">04/25</t>
    </r>
    <r>
      <rPr>
        <b val="true"/>
        <sz val="11"/>
        <color rgb="FFFFFFFF"/>
        <rFont val="Noto Sans CJK SC"/>
        <family val="2"/>
      </rPr>
      <t xml:space="preserve">（六）</t>
    </r>
  </si>
  <si>
    <t xml:space="preserve">飛機餐</t>
  </si>
  <si>
    <t xml:space="preserve">飯店自助餐</t>
  </si>
  <si>
    <r>
      <rPr>
        <sz val="10"/>
        <color rgb="FF333333"/>
        <rFont val="Noto Sans CJK SC"/>
        <family val="2"/>
      </rPr>
      <t xml:space="preserve">便利商店 </t>
    </r>
    <r>
      <rPr>
        <sz val="10"/>
        <color rgb="FF333333"/>
        <rFont val="微軟正黑體"/>
        <family val="0"/>
        <charset val="1"/>
      </rPr>
      <t xml:space="preserve">7-11</t>
    </r>
  </si>
  <si>
    <t xml:space="preserve">海鮮蓋飯</t>
  </si>
  <si>
    <t xml:space="preserve">豆乳甜甜圈</t>
  </si>
  <si>
    <r>
      <rPr>
        <sz val="10"/>
        <color rgb="FF333333"/>
        <rFont val="Noto Sans CJK SC"/>
        <family val="2"/>
      </rPr>
      <t xml:space="preserve">飯店早餐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超市</t>
    </r>
  </si>
  <si>
    <t xml:space="preserve">飯店冷凍微波食品</t>
  </si>
  <si>
    <t xml:space="preserve">鰻魚飯</t>
  </si>
  <si>
    <t xml:space="preserve">午餐</t>
  </si>
  <si>
    <t xml:space="preserve">成田機場隨便吃</t>
  </si>
  <si>
    <t xml:space="preserve">蕎麥麵</t>
  </si>
  <si>
    <t xml:space="preserve">咖啡廳</t>
  </si>
  <si>
    <t xml:space="preserve">豆皮壽司</t>
  </si>
  <si>
    <t xml:space="preserve">炸豬排</t>
  </si>
  <si>
    <t xml:space="preserve">拉麵</t>
  </si>
  <si>
    <t xml:space="preserve">超寬烏龍麵</t>
  </si>
  <si>
    <t xml:space="preserve">下午茶</t>
  </si>
  <si>
    <t xml:space="preserve">胡桃饅頭、和菓子、豆腐霜淇淋、栗子蒙布朗</t>
  </si>
  <si>
    <t xml:space="preserve">麵包、炸饅頭、布丁、醬油糰子、羊羹</t>
  </si>
  <si>
    <t xml:space="preserve">晚餐</t>
  </si>
  <si>
    <t xml:space="preserve">中華拉麵</t>
  </si>
  <si>
    <r>
      <rPr>
        <sz val="10"/>
        <color rgb="FF333333"/>
        <rFont val="Noto Sans CJK SC"/>
        <family val="2"/>
      </rPr>
      <t xml:space="preserve">鰻魚飯</t>
    </r>
    <r>
      <rPr>
        <sz val="10"/>
        <color rgb="FF333333"/>
        <rFont val="微軟正黑體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炸豬排</t>
    </r>
  </si>
  <si>
    <r>
      <rPr>
        <sz val="10"/>
        <color rgb="FF333333"/>
        <rFont val="Noto Sans CJK SC"/>
        <family val="2"/>
      </rPr>
      <t xml:space="preserve">鮟鱇魚火鍋 </t>
    </r>
    <r>
      <rPr>
        <sz val="10"/>
        <color rgb="FF333333"/>
        <rFont val="微軟正黑體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有訂位</t>
    </r>
    <r>
      <rPr>
        <sz val="10"/>
        <color rgb="FF333333"/>
        <rFont val="微軟正黑體"/>
        <family val="0"/>
        <charset val="1"/>
      </rPr>
      <t xml:space="preserve">)</t>
    </r>
  </si>
  <si>
    <t xml:space="preserve">日式定食</t>
  </si>
  <si>
    <t xml:space="preserve">青竹手工揉麵</t>
  </si>
  <si>
    <r>
      <rPr>
        <sz val="10"/>
        <color rgb="FF333333"/>
        <rFont val="微軟正黑體"/>
        <family val="0"/>
        <charset val="1"/>
      </rPr>
      <t xml:space="preserve">Outlet</t>
    </r>
    <r>
      <rPr>
        <sz val="10"/>
        <color rgb="FF333333"/>
        <rFont val="Noto Sans CJK SC"/>
        <family val="2"/>
      </rPr>
      <t xml:space="preserve">隨便找</t>
    </r>
  </si>
  <si>
    <t xml:space="preserve">票券與費用（現地支付）</t>
  </si>
  <si>
    <t xml:space="preserve">以下列出原始備註中出現金額的項目。黃底「預估金額」欄請自行填寫（單位：日圓），合計會自動計算。</t>
  </si>
  <si>
    <t xml:space="preserve">地點／事件</t>
  </si>
  <si>
    <t xml:space="preserve">原始備註（費用來源）</t>
  </si>
  <si>
    <r>
      <rPr>
        <b val="true"/>
        <sz val="11"/>
        <color rgb="FFFFFFFF"/>
        <rFont val="Noto Sans CJK SC"/>
        <family val="2"/>
      </rPr>
      <t xml:space="preserve">預估金額</t>
    </r>
    <r>
      <rPr>
        <b val="true"/>
        <sz val="11"/>
        <color rgb="FFFFFFFF"/>
        <rFont val="微軟正黑體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微軟正黑體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</si>
  <si>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已購票</t>
    </r>
    <r>
      <rPr>
        <b val="true"/>
        <sz val="11"/>
        <color rgb="FFFFFFFF"/>
        <rFont val="微軟正黑體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已預約</t>
    </r>
  </si>
  <si>
    <t xml:space="preserve">合計（日圓）</t>
  </si>
  <si>
    <t xml:space="preserve">範例填法（請覆寫或刪除）</t>
  </si>
  <si>
    <r>
      <rPr>
        <sz val="9"/>
        <color rgb="FF808080"/>
        <rFont val="Noto Sans CJK SC"/>
        <family val="2"/>
      </rPr>
      <t xml:space="preserve">袋田瀑布　門票</t>
    </r>
    <r>
      <rPr>
        <sz val="9"/>
        <color rgb="FF808080"/>
        <rFont val="微軟正黑體"/>
        <family val="0"/>
        <charset val="1"/>
      </rPr>
      <t xml:space="preserve">300</t>
    </r>
    <r>
      <rPr>
        <sz val="9"/>
        <color rgb="FF808080"/>
        <rFont val="Noto Sans CJK SC"/>
        <family val="2"/>
      </rPr>
      <t xml:space="preserve">円 → 一人 </t>
    </r>
    <r>
      <rPr>
        <sz val="9"/>
        <color rgb="FF808080"/>
        <rFont val="微軟正黑體"/>
        <family val="0"/>
        <charset val="1"/>
      </rPr>
      <t xml:space="preserve">300 </t>
    </r>
    <r>
      <rPr>
        <sz val="9"/>
        <color rgb="FF808080"/>
        <rFont val="Noto Sans CJK SC"/>
        <family val="2"/>
      </rPr>
      <t xml:space="preserve">円，四人同行則填 </t>
    </r>
    <r>
      <rPr>
        <sz val="9"/>
        <color rgb="FF808080"/>
        <rFont val="微軟正黑體"/>
        <family val="0"/>
        <charset val="1"/>
      </rPr>
      <t xml:space="preserve">1200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</si>
</sst>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hh:mm"/>
    <numFmt numFmtId="167" formatCode="0"/>
    <numFmt numFmtId="168" formatCode="#,##0"/>
    <numFmt numFmtId="169" formatCode="mm/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微軟正黑體"/>
      <family val="0"/>
      <charset val="1"/>
    </font>
    <font>
      <b val="true"/>
      <sz val="16"/>
      <color rgb="FF1F3864"/>
      <name val="Noto Sans CJK SC"/>
      <family val="2"/>
    </font>
    <font>
      <sz val="9"/>
      <color rgb="FF80808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1F3864"/>
      <name val="微軟正黑體"/>
      <family val="0"/>
      <charset val="1"/>
    </font>
    <font>
      <sz val="10"/>
      <color rgb="FF333333"/>
      <name val="微軟正黑體"/>
      <family val="0"/>
      <charset val="1"/>
    </font>
    <font>
      <sz val="10"/>
      <color rgb="FF333333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9"/>
      <color rgb="FF333333"/>
      <name val="Noto Sans CJK SC"/>
      <family val="2"/>
    </font>
    <font>
      <sz val="9"/>
      <color rgb="FF595959"/>
      <name val="Noto Sans CJK SC"/>
      <family val="2"/>
    </font>
    <font>
      <b val="true"/>
      <sz val="9"/>
      <color rgb="FF333333"/>
      <name val="微軟正黑體"/>
      <family val="0"/>
      <charset val="1"/>
    </font>
    <font>
      <sz val="9"/>
      <color rgb="FF808080"/>
      <name val="微軟正黑體"/>
      <family val="0"/>
      <charset val="1"/>
    </font>
    <font>
      <b val="true"/>
      <sz val="11"/>
      <color rgb="FFFFFFFF"/>
      <name val="微軟正黑體"/>
      <family val="0"/>
      <charset val="1"/>
    </font>
    <font>
      <b val="true"/>
      <sz val="11"/>
      <color rgb="FFC00000"/>
      <name val="微軟正黑體"/>
      <family val="0"/>
      <charset val="1"/>
    </font>
    <font>
      <b val="true"/>
      <sz val="9"/>
      <color rgb="FF80808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BF7"/>
        <bgColor rgb="FFD9E2F3"/>
      </patternFill>
    </fill>
    <fill>
      <patternFill patternType="solid">
        <fgColor rgb="FFF2F2F2"/>
        <bgColor rgb="FFFAFAFA"/>
      </patternFill>
    </fill>
    <fill>
      <patternFill patternType="solid">
        <fgColor rgb="FFFFF9E6"/>
        <bgColor rgb="FFFAFAFA"/>
      </patternFill>
    </fill>
    <fill>
      <patternFill patternType="solid">
        <fgColor rgb="FFE2F0D9"/>
        <bgColor rgb="FFDEEBF7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DEEBF7"/>
      </patternFill>
    </fill>
    <fill>
      <patternFill patternType="solid">
        <fgColor rgb="FFFFF2CC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>
          <bgColor rgb="FFFAFAF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E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FAFAFA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6" min="6" style="0" width="52"/>
    <col collapsed="false" customWidth="true" hidden="false" outlineLevel="0" max="7" min="7" style="0" width="22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3.75" hidden="false" customHeight="true" outlineLevel="0" collapsed="false">
      <c r="A5" s="4" t="s">
        <v>10</v>
      </c>
      <c r="B5" s="5" t="n">
        <v>46130</v>
      </c>
      <c r="C5" s="6" t="s">
        <v>11</v>
      </c>
      <c r="D5" s="7" t="n">
        <v>0.208333333333333</v>
      </c>
      <c r="E5" s="7" t="n">
        <v>0.875</v>
      </c>
      <c r="F5" s="8" t="s">
        <v>12</v>
      </c>
      <c r="G5" s="9" t="s">
        <v>13</v>
      </c>
      <c r="H5" s="8" t="s">
        <v>14</v>
      </c>
    </row>
    <row r="6" customFormat="false" ht="33.75" hidden="false" customHeight="true" outlineLevel="0" collapsed="false">
      <c r="A6" s="4" t="s">
        <v>15</v>
      </c>
      <c r="B6" s="5" t="n">
        <v>46131</v>
      </c>
      <c r="C6" s="6" t="s">
        <v>16</v>
      </c>
      <c r="D6" s="7" t="n">
        <v>0.190972222222222</v>
      </c>
      <c r="E6" s="7" t="n">
        <v>0.878472222222222</v>
      </c>
      <c r="F6" s="8" t="s">
        <v>17</v>
      </c>
      <c r="G6" s="10" t="s">
        <v>18</v>
      </c>
      <c r="H6" s="8" t="s">
        <v>19</v>
      </c>
    </row>
    <row r="7" customFormat="false" ht="33.75" hidden="false" customHeight="true" outlineLevel="0" collapsed="false">
      <c r="A7" s="4" t="s">
        <v>20</v>
      </c>
      <c r="B7" s="5" t="n">
        <v>46132</v>
      </c>
      <c r="C7" s="6" t="s">
        <v>21</v>
      </c>
      <c r="D7" s="7" t="n">
        <v>0.350694444444444</v>
      </c>
      <c r="E7" s="7" t="n">
        <v>0.854166666666667</v>
      </c>
      <c r="F7" s="8" t="s">
        <v>22</v>
      </c>
      <c r="G7" s="10" t="s">
        <v>18</v>
      </c>
      <c r="H7" s="8" t="s">
        <v>23</v>
      </c>
    </row>
    <row r="8" customFormat="false" ht="33.75" hidden="false" customHeight="true" outlineLevel="0" collapsed="false">
      <c r="A8" s="4" t="s">
        <v>24</v>
      </c>
      <c r="B8" s="5" t="n">
        <v>46133</v>
      </c>
      <c r="C8" s="6" t="s">
        <v>25</v>
      </c>
      <c r="D8" s="7" t="n">
        <v>0.194444444444444</v>
      </c>
      <c r="E8" s="7" t="n">
        <v>0.791666666666667</v>
      </c>
      <c r="F8" s="8" t="s">
        <v>26</v>
      </c>
      <c r="G8" s="9" t="s">
        <v>27</v>
      </c>
      <c r="H8" s="8" t="s">
        <v>28</v>
      </c>
    </row>
    <row r="9" customFormat="false" ht="33.75" hidden="false" customHeight="true" outlineLevel="0" collapsed="false">
      <c r="A9" s="4" t="s">
        <v>29</v>
      </c>
      <c r="B9" s="5" t="n">
        <v>46134</v>
      </c>
      <c r="C9" s="6" t="s">
        <v>30</v>
      </c>
      <c r="D9" s="7" t="n">
        <v>0.354166666666667</v>
      </c>
      <c r="E9" s="7" t="n">
        <v>0.8125</v>
      </c>
      <c r="F9" s="8" t="s">
        <v>31</v>
      </c>
      <c r="G9" s="10" t="s">
        <v>32</v>
      </c>
      <c r="H9" s="8" t="s">
        <v>33</v>
      </c>
    </row>
    <row r="10" customFormat="false" ht="33.75" hidden="false" customHeight="true" outlineLevel="0" collapsed="false">
      <c r="A10" s="4" t="s">
        <v>34</v>
      </c>
      <c r="B10" s="5" t="n">
        <v>46135</v>
      </c>
      <c r="C10" s="6" t="s">
        <v>35</v>
      </c>
      <c r="D10" s="7" t="n">
        <v>0.3125</v>
      </c>
      <c r="E10" s="7" t="n">
        <v>0.881944444444444</v>
      </c>
      <c r="F10" s="8" t="s">
        <v>36</v>
      </c>
      <c r="G10" s="9" t="s">
        <v>37</v>
      </c>
      <c r="H10" s="8" t="s">
        <v>38</v>
      </c>
    </row>
    <row r="11" customFormat="false" ht="33.75" hidden="false" customHeight="true" outlineLevel="0" collapsed="false">
      <c r="A11" s="4" t="s">
        <v>39</v>
      </c>
      <c r="B11" s="5" t="n">
        <v>46136</v>
      </c>
      <c r="C11" s="6" t="s">
        <v>40</v>
      </c>
      <c r="D11" s="7" t="n">
        <v>0.322916666666667</v>
      </c>
      <c r="E11" s="7" t="n">
        <v>0.895833333333333</v>
      </c>
      <c r="F11" s="8" t="s">
        <v>41</v>
      </c>
      <c r="G11" s="9" t="s">
        <v>42</v>
      </c>
      <c r="H11" s="8" t="s">
        <v>43</v>
      </c>
    </row>
    <row r="12" customFormat="false" ht="33.75" hidden="false" customHeight="true" outlineLevel="0" collapsed="false">
      <c r="A12" s="4" t="s">
        <v>44</v>
      </c>
      <c r="B12" s="5" t="n">
        <v>46137</v>
      </c>
      <c r="C12" s="6" t="s">
        <v>11</v>
      </c>
      <c r="D12" s="7" t="n">
        <v>0.354166666666667</v>
      </c>
      <c r="E12" s="7" t="n">
        <v>0.791666666666667</v>
      </c>
      <c r="F12" s="8" t="s">
        <v>45</v>
      </c>
      <c r="G12" s="10" t="s">
        <v>46</v>
      </c>
      <c r="H12" s="8" t="s">
        <v>47</v>
      </c>
    </row>
    <row r="15" customFormat="false" ht="15" hidden="false" customHeight="false" outlineLevel="0" collapsed="false">
      <c r="A15" s="11" t="s">
        <v>48</v>
      </c>
    </row>
    <row r="16" customFormat="false" ht="15" hidden="false" customHeight="false" outlineLevel="0" collapsed="false">
      <c r="A16" s="12" t="s">
        <v>49</v>
      </c>
      <c r="B16" s="12"/>
      <c r="C16" s="13" t="s">
        <v>50</v>
      </c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12" t="s">
        <v>51</v>
      </c>
      <c r="B17" s="12"/>
      <c r="C17" s="13" t="s">
        <v>52</v>
      </c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12" t="s">
        <v>53</v>
      </c>
      <c r="B18" s="12"/>
      <c r="C18" s="13" t="s">
        <v>54</v>
      </c>
      <c r="D18" s="13"/>
      <c r="E18" s="13"/>
      <c r="F18" s="13"/>
      <c r="G18" s="13"/>
      <c r="H18" s="13"/>
    </row>
    <row r="19" customFormat="false" ht="15" hidden="false" customHeight="false" outlineLevel="0" collapsed="false">
      <c r="A19" s="12" t="s">
        <v>55</v>
      </c>
      <c r="B19" s="12"/>
      <c r="C19" s="13" t="s">
        <v>56</v>
      </c>
      <c r="D19" s="13"/>
      <c r="E19" s="13"/>
      <c r="F19" s="13"/>
      <c r="G19" s="13"/>
      <c r="H19" s="13"/>
    </row>
  </sheetData>
  <mergeCells count="10">
    <mergeCell ref="A1:H1"/>
    <mergeCell ref="A2:H2"/>
    <mergeCell ref="A16:B16"/>
    <mergeCell ref="C16:H16"/>
    <mergeCell ref="A17:B17"/>
    <mergeCell ref="C17:H17"/>
    <mergeCell ref="A18:B18"/>
    <mergeCell ref="C18:H18"/>
    <mergeCell ref="A19:B19"/>
    <mergeCell ref="C19:H19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5" min="4" style="0" width="8"/>
    <col collapsed="false" customWidth="true" hidden="false" outlineLevel="0" max="7" min="6" style="0" width="9"/>
    <col collapsed="false" customWidth="true" hidden="false" outlineLevel="0" max="9" min="8" style="0" width="34"/>
    <col collapsed="false" customWidth="true" hidden="false" outlineLevel="0" max="10" min="10" style="0" width="46"/>
  </cols>
  <sheetData>
    <row r="1" customFormat="false" ht="27.75" hidden="false" customHeight="true" outlineLevel="0" collapsed="false">
      <c r="A1" s="14" t="s">
        <v>57</v>
      </c>
      <c r="B1" s="14"/>
      <c r="C1" s="14"/>
      <c r="D1" s="14"/>
      <c r="E1" s="14"/>
      <c r="F1" s="14"/>
      <c r="G1" s="14"/>
      <c r="H1" s="14"/>
      <c r="I1" s="14"/>
    </row>
    <row r="2" customFormat="false" ht="15.75" hidden="false" customHeight="true" outlineLevel="0" collapsed="false">
      <c r="A2" s="2" t="s">
        <v>58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</row>
    <row r="5" customFormat="false" ht="15" hidden="false" customHeight="false" outlineLevel="0" collapsed="false">
      <c r="A5" s="15" t="n">
        <v>1</v>
      </c>
      <c r="B5" s="16" t="n">
        <v>46130</v>
      </c>
      <c r="C5" s="6" t="s">
        <v>11</v>
      </c>
      <c r="D5" s="15"/>
      <c r="E5" s="15"/>
      <c r="F5" s="17" t="str">
        <f aca="false">IF(OR(D5="",E5=""),"",(E5-D5)*1440)</f>
        <v/>
      </c>
      <c r="G5" s="18" t="s">
        <v>66</v>
      </c>
      <c r="H5" s="19" t="s">
        <v>67</v>
      </c>
      <c r="I5" s="19" t="s">
        <v>68</v>
      </c>
      <c r="J5" s="20"/>
    </row>
    <row r="6" customFormat="false" ht="29.85" hidden="false" customHeight="false" outlineLevel="0" collapsed="false">
      <c r="A6" s="15" t="n">
        <v>1</v>
      </c>
      <c r="B6" s="16" t="n">
        <v>46130</v>
      </c>
      <c r="C6" s="6" t="s">
        <v>11</v>
      </c>
      <c r="D6" s="7" t="n">
        <v>0.208333333333333</v>
      </c>
      <c r="E6" s="7" t="n">
        <v>0.256944444444444</v>
      </c>
      <c r="F6" s="17" t="n">
        <f aca="false">IF(OR(D6="",E6=""),"",(E6-D6)*1440)</f>
        <v>70</v>
      </c>
      <c r="G6" s="21" t="s">
        <v>69</v>
      </c>
      <c r="H6" s="19" t="s">
        <v>70</v>
      </c>
      <c r="I6" s="19"/>
      <c r="J6" s="22" t="s">
        <v>71</v>
      </c>
    </row>
    <row r="7" customFormat="false" ht="15" hidden="false" customHeight="false" outlineLevel="0" collapsed="false">
      <c r="A7" s="15" t="n">
        <v>1</v>
      </c>
      <c r="B7" s="16" t="n">
        <v>46130</v>
      </c>
      <c r="C7" s="6" t="s">
        <v>11</v>
      </c>
      <c r="D7" s="7" t="n">
        <v>0.256944444444444</v>
      </c>
      <c r="E7" s="7" t="n">
        <v>0.270833333333333</v>
      </c>
      <c r="F7" s="17" t="n">
        <f aca="false">IF(OR(D7="",E7=""),"",(E7-D7)*1440)</f>
        <v>20</v>
      </c>
      <c r="G7" s="21" t="s">
        <v>69</v>
      </c>
      <c r="H7" s="19" t="s">
        <v>72</v>
      </c>
      <c r="I7" s="19"/>
      <c r="J7" s="20"/>
    </row>
    <row r="8" customFormat="false" ht="15" hidden="false" customHeight="false" outlineLevel="0" collapsed="false">
      <c r="A8" s="15" t="n">
        <v>1</v>
      </c>
      <c r="B8" s="16" t="n">
        <v>46130</v>
      </c>
      <c r="C8" s="6" t="s">
        <v>11</v>
      </c>
      <c r="D8" s="7" t="n">
        <v>0.270833333333333</v>
      </c>
      <c r="E8" s="7" t="n">
        <v>0.354166666666667</v>
      </c>
      <c r="F8" s="17" t="n">
        <f aca="false">IF(OR(D8="",E8=""),"",(E8-D8)*1440)</f>
        <v>120</v>
      </c>
      <c r="G8" s="23" t="s">
        <v>73</v>
      </c>
      <c r="H8" s="19" t="s">
        <v>74</v>
      </c>
      <c r="I8" s="19" t="s">
        <v>75</v>
      </c>
      <c r="J8" s="22" t="s">
        <v>76</v>
      </c>
    </row>
    <row r="9" customFormat="false" ht="15" hidden="false" customHeight="false" outlineLevel="0" collapsed="false">
      <c r="A9" s="15" t="n">
        <v>1</v>
      </c>
      <c r="B9" s="16" t="n">
        <v>46130</v>
      </c>
      <c r="C9" s="6" t="s">
        <v>11</v>
      </c>
      <c r="D9" s="7" t="n">
        <v>0.354166666666667</v>
      </c>
      <c r="E9" s="7" t="n">
        <v>0.538194444444444</v>
      </c>
      <c r="F9" s="17" t="n">
        <f aca="false">IF(OR(D9="",E9=""),"",(E9-D9)*1440)</f>
        <v>265</v>
      </c>
      <c r="G9" s="21" t="s">
        <v>69</v>
      </c>
      <c r="H9" s="19" t="s">
        <v>77</v>
      </c>
      <c r="I9" s="24" t="s">
        <v>78</v>
      </c>
      <c r="J9" s="22" t="s">
        <v>79</v>
      </c>
    </row>
    <row r="10" customFormat="false" ht="15" hidden="false" customHeight="false" outlineLevel="0" collapsed="false">
      <c r="A10" s="15" t="n">
        <v>1</v>
      </c>
      <c r="B10" s="16" t="n">
        <v>46130</v>
      </c>
      <c r="C10" s="6" t="s">
        <v>11</v>
      </c>
      <c r="D10" s="7" t="n">
        <v>0.538194444444444</v>
      </c>
      <c r="E10" s="7" t="n">
        <v>0.600694444444444</v>
      </c>
      <c r="F10" s="17" t="n">
        <f aca="false">IF(OR(D10="",E10=""),"",(E10-D10)*1440)</f>
        <v>90</v>
      </c>
      <c r="G10" s="25" t="s">
        <v>80</v>
      </c>
      <c r="H10" s="19" t="s">
        <v>81</v>
      </c>
      <c r="I10" s="19" t="s">
        <v>82</v>
      </c>
      <c r="J10" s="22" t="s">
        <v>83</v>
      </c>
    </row>
    <row r="11" customFormat="false" ht="15" hidden="false" customHeight="false" outlineLevel="0" collapsed="false">
      <c r="A11" s="15" t="n">
        <v>1</v>
      </c>
      <c r="B11" s="16" t="n">
        <v>46130</v>
      </c>
      <c r="C11" s="6" t="s">
        <v>11</v>
      </c>
      <c r="D11" s="7" t="n">
        <v>0.600694444444444</v>
      </c>
      <c r="E11" s="7" t="n">
        <v>0.604166666666667</v>
      </c>
      <c r="F11" s="17" t="n">
        <f aca="false">IF(OR(D11="",E11=""),"",(E11-D11)*1440)</f>
        <v>5</v>
      </c>
      <c r="G11" s="21" t="s">
        <v>69</v>
      </c>
      <c r="H11" s="19" t="s">
        <v>84</v>
      </c>
      <c r="I11" s="19" t="s">
        <v>85</v>
      </c>
      <c r="J11" s="20"/>
    </row>
    <row r="12" customFormat="false" ht="15" hidden="false" customHeight="false" outlineLevel="0" collapsed="false">
      <c r="A12" s="15" t="n">
        <v>1</v>
      </c>
      <c r="B12" s="16" t="n">
        <v>46130</v>
      </c>
      <c r="C12" s="6" t="s">
        <v>11</v>
      </c>
      <c r="D12" s="7" t="n">
        <v>0.604166666666667</v>
      </c>
      <c r="E12" s="7" t="n">
        <v>0.614583333333333</v>
      </c>
      <c r="F12" s="17" t="n">
        <f aca="false">IF(OR(D12="",E12=""),"",(E12-D12)*1440)</f>
        <v>15</v>
      </c>
      <c r="G12" s="21" t="s">
        <v>69</v>
      </c>
      <c r="H12" s="19" t="s">
        <v>86</v>
      </c>
      <c r="I12" s="19" t="s">
        <v>87</v>
      </c>
      <c r="J12" s="20"/>
    </row>
    <row r="13" customFormat="false" ht="15" hidden="false" customHeight="false" outlineLevel="0" collapsed="false">
      <c r="A13" s="15" t="n">
        <v>1</v>
      </c>
      <c r="B13" s="16" t="n">
        <v>46130</v>
      </c>
      <c r="C13" s="6" t="s">
        <v>11</v>
      </c>
      <c r="D13" s="7" t="n">
        <v>0.614583333333333</v>
      </c>
      <c r="E13" s="7" t="n">
        <v>0.625</v>
      </c>
      <c r="F13" s="17" t="n">
        <f aca="false">IF(OR(D13="",E13=""),"",(E13-D13)*1440)</f>
        <v>15</v>
      </c>
      <c r="G13" s="21" t="s">
        <v>69</v>
      </c>
      <c r="H13" s="19" t="s">
        <v>88</v>
      </c>
      <c r="I13" s="24" t="s">
        <v>89</v>
      </c>
      <c r="J13" s="20"/>
    </row>
    <row r="14" customFormat="false" ht="15" hidden="false" customHeight="false" outlineLevel="0" collapsed="false">
      <c r="A14" s="15" t="n">
        <v>1</v>
      </c>
      <c r="B14" s="16" t="n">
        <v>46130</v>
      </c>
      <c r="C14" s="6" t="s">
        <v>11</v>
      </c>
      <c r="D14" s="7" t="n">
        <v>0.625</v>
      </c>
      <c r="E14" s="7" t="n">
        <v>0.65625</v>
      </c>
      <c r="F14" s="17" t="n">
        <f aca="false">IF(OR(D14="",E14=""),"",(E14-D14)*1440)</f>
        <v>45</v>
      </c>
      <c r="G14" s="21" t="s">
        <v>69</v>
      </c>
      <c r="H14" s="19" t="s">
        <v>70</v>
      </c>
      <c r="I14" s="24"/>
      <c r="J14" s="22" t="s">
        <v>90</v>
      </c>
    </row>
    <row r="15" customFormat="false" ht="29.85" hidden="false" customHeight="false" outlineLevel="0" collapsed="false">
      <c r="A15" s="15" t="n">
        <v>1</v>
      </c>
      <c r="B15" s="16" t="n">
        <v>46130</v>
      </c>
      <c r="C15" s="6" t="s">
        <v>11</v>
      </c>
      <c r="D15" s="7" t="n">
        <v>0.65625</v>
      </c>
      <c r="E15" s="7" t="n">
        <v>0.663194444444444</v>
      </c>
      <c r="F15" s="17" t="n">
        <f aca="false">IF(OR(D15="",E15=""),"",(E15-D15)*1440)</f>
        <v>10</v>
      </c>
      <c r="G15" s="25" t="s">
        <v>80</v>
      </c>
      <c r="H15" s="19" t="s">
        <v>91</v>
      </c>
      <c r="I15" s="19" t="s">
        <v>92</v>
      </c>
      <c r="J15" s="22" t="s">
        <v>93</v>
      </c>
    </row>
    <row r="16" customFormat="false" ht="15" hidden="false" customHeight="false" outlineLevel="0" collapsed="false">
      <c r="A16" s="15" t="n">
        <v>1</v>
      </c>
      <c r="B16" s="16" t="n">
        <v>46130</v>
      </c>
      <c r="C16" s="6" t="s">
        <v>11</v>
      </c>
      <c r="D16" s="7" t="n">
        <v>0.663194444444444</v>
      </c>
      <c r="E16" s="7" t="n">
        <v>0.680555555555556</v>
      </c>
      <c r="F16" s="17" t="n">
        <f aca="false">IF(OR(D16="",E16=""),"",(E16-D16)*1440)</f>
        <v>25</v>
      </c>
      <c r="G16" s="21" t="s">
        <v>69</v>
      </c>
      <c r="H16" s="19" t="s">
        <v>70</v>
      </c>
      <c r="I16" s="24"/>
      <c r="J16" s="22" t="s">
        <v>94</v>
      </c>
    </row>
    <row r="17" customFormat="false" ht="15" hidden="false" customHeight="false" outlineLevel="0" collapsed="false">
      <c r="A17" s="15" t="n">
        <v>1</v>
      </c>
      <c r="B17" s="16" t="n">
        <v>46130</v>
      </c>
      <c r="C17" s="6" t="s">
        <v>11</v>
      </c>
      <c r="D17" s="7" t="n">
        <v>0.680555555555556</v>
      </c>
      <c r="E17" s="7" t="n">
        <v>0.701388888888889</v>
      </c>
      <c r="F17" s="17" t="n">
        <f aca="false">IF(OR(D17="",E17=""),"",(E17-D17)*1440)</f>
        <v>30</v>
      </c>
      <c r="G17" s="25" t="s">
        <v>80</v>
      </c>
      <c r="H17" s="19" t="s">
        <v>95</v>
      </c>
      <c r="I17" s="19" t="s">
        <v>96</v>
      </c>
      <c r="J17" s="20"/>
    </row>
    <row r="18" customFormat="false" ht="15" hidden="false" customHeight="false" outlineLevel="0" collapsed="false">
      <c r="A18" s="15" t="n">
        <v>1</v>
      </c>
      <c r="B18" s="16" t="n">
        <v>46130</v>
      </c>
      <c r="C18" s="6" t="s">
        <v>11</v>
      </c>
      <c r="D18" s="7" t="n">
        <v>0.701388888888889</v>
      </c>
      <c r="E18" s="7" t="n">
        <v>0.75</v>
      </c>
      <c r="F18" s="17" t="n">
        <f aca="false">IF(OR(D18="",E18=""),"",(E18-D18)*1440)</f>
        <v>70</v>
      </c>
      <c r="G18" s="21" t="s">
        <v>69</v>
      </c>
      <c r="H18" s="19" t="s">
        <v>70</v>
      </c>
      <c r="I18" s="24"/>
      <c r="J18" s="22" t="s">
        <v>97</v>
      </c>
    </row>
    <row r="19" customFormat="false" ht="15" hidden="false" customHeight="false" outlineLevel="0" collapsed="false">
      <c r="A19" s="15" t="n">
        <v>1</v>
      </c>
      <c r="B19" s="16" t="n">
        <v>46130</v>
      </c>
      <c r="C19" s="6" t="s">
        <v>11</v>
      </c>
      <c r="D19" s="7" t="n">
        <v>0.75</v>
      </c>
      <c r="E19" s="7" t="n">
        <v>0.791666666666667</v>
      </c>
      <c r="F19" s="17" t="n">
        <f aca="false">IF(OR(D19="",E19=""),"",(E19-D19)*1440)</f>
        <v>60</v>
      </c>
      <c r="G19" s="25" t="s">
        <v>80</v>
      </c>
      <c r="H19" s="19" t="s">
        <v>98</v>
      </c>
      <c r="I19" s="24" t="s">
        <v>99</v>
      </c>
      <c r="J19" s="22" t="s">
        <v>100</v>
      </c>
    </row>
    <row r="20" customFormat="false" ht="15" hidden="false" customHeight="false" outlineLevel="0" collapsed="false">
      <c r="A20" s="15" t="n">
        <v>1</v>
      </c>
      <c r="B20" s="16" t="n">
        <v>46130</v>
      </c>
      <c r="C20" s="6" t="s">
        <v>11</v>
      </c>
      <c r="D20" s="7" t="n">
        <v>0.791666666666667</v>
      </c>
      <c r="E20" s="7" t="n">
        <v>0.798611111111111</v>
      </c>
      <c r="F20" s="17" t="n">
        <f aca="false">IF(OR(D20="",E20=""),"",(E20-D20)*1440)</f>
        <v>10</v>
      </c>
      <c r="G20" s="21" t="s">
        <v>69</v>
      </c>
      <c r="H20" s="19" t="s">
        <v>70</v>
      </c>
      <c r="I20" s="24"/>
      <c r="J20" s="22" t="s">
        <v>101</v>
      </c>
    </row>
    <row r="21" customFormat="false" ht="15" hidden="false" customHeight="false" outlineLevel="0" collapsed="false">
      <c r="A21" s="15" t="n">
        <v>1</v>
      </c>
      <c r="B21" s="16" t="n">
        <v>46130</v>
      </c>
      <c r="C21" s="6" t="s">
        <v>11</v>
      </c>
      <c r="D21" s="7" t="n">
        <v>0.798611111111111</v>
      </c>
      <c r="E21" s="7" t="n">
        <v>0.8125</v>
      </c>
      <c r="F21" s="17" t="n">
        <f aca="false">IF(OR(D21="",E21=""),"",(E21-D21)*1440)</f>
        <v>20</v>
      </c>
      <c r="G21" s="18" t="s">
        <v>66</v>
      </c>
      <c r="H21" s="24" t="s">
        <v>102</v>
      </c>
      <c r="I21" s="19" t="s">
        <v>103</v>
      </c>
      <c r="J21" s="20"/>
    </row>
    <row r="22" customFormat="false" ht="15" hidden="false" customHeight="false" outlineLevel="0" collapsed="false">
      <c r="A22" s="15" t="n">
        <v>1</v>
      </c>
      <c r="B22" s="16" t="n">
        <v>46130</v>
      </c>
      <c r="C22" s="6" t="s">
        <v>11</v>
      </c>
      <c r="D22" s="7" t="n">
        <v>0.8125</v>
      </c>
      <c r="E22" s="7" t="n">
        <v>0.854166666666667</v>
      </c>
      <c r="F22" s="17" t="n">
        <f aca="false">IF(OR(D22="",E22=""),"",(E22-D22)*1440)</f>
        <v>60</v>
      </c>
      <c r="G22" s="26" t="s">
        <v>104</v>
      </c>
      <c r="H22" s="19" t="s">
        <v>105</v>
      </c>
      <c r="I22" s="19" t="s">
        <v>106</v>
      </c>
      <c r="J22" s="22" t="s">
        <v>107</v>
      </c>
    </row>
    <row r="23" customFormat="false" ht="15" hidden="false" customHeight="false" outlineLevel="0" collapsed="false">
      <c r="A23" s="15" t="n">
        <v>1</v>
      </c>
      <c r="B23" s="16" t="n">
        <v>46130</v>
      </c>
      <c r="C23" s="6" t="s">
        <v>11</v>
      </c>
      <c r="D23" s="7" t="n">
        <v>0.854166666666667</v>
      </c>
      <c r="E23" s="7" t="n">
        <v>0.875</v>
      </c>
      <c r="F23" s="17" t="n">
        <f aca="false">IF(OR(D23="",E23=""),"",(E23-D23)*1440)</f>
        <v>30</v>
      </c>
      <c r="G23" s="25" t="s">
        <v>80</v>
      </c>
      <c r="H23" s="19" t="s">
        <v>108</v>
      </c>
      <c r="I23" s="19" t="s">
        <v>109</v>
      </c>
      <c r="J23" s="22" t="s">
        <v>110</v>
      </c>
    </row>
    <row r="24" customFormat="false" ht="15" hidden="false" customHeight="false" outlineLevel="0" collapsed="false">
      <c r="A24" s="15" t="n">
        <v>1</v>
      </c>
      <c r="B24" s="16" t="n">
        <v>46130</v>
      </c>
      <c r="C24" s="6" t="s">
        <v>11</v>
      </c>
      <c r="D24" s="15"/>
      <c r="E24" s="15"/>
      <c r="F24" s="17" t="str">
        <f aca="false">IF(OR(D24="",E24=""),"",(E24-D24)*1440)</f>
        <v/>
      </c>
      <c r="G24" s="18" t="s">
        <v>66</v>
      </c>
      <c r="H24" s="19" t="s">
        <v>111</v>
      </c>
      <c r="I24" s="19" t="s">
        <v>103</v>
      </c>
      <c r="J24" s="22" t="s">
        <v>112</v>
      </c>
    </row>
    <row r="25" customFormat="false" ht="15" hidden="false" customHeight="false" outlineLevel="0" collapsed="false">
      <c r="A25" s="15" t="n">
        <v>2</v>
      </c>
      <c r="B25" s="16" t="n">
        <v>46131</v>
      </c>
      <c r="C25" s="6" t="s">
        <v>16</v>
      </c>
      <c r="D25" s="15"/>
      <c r="E25" s="15"/>
      <c r="F25" s="17" t="str">
        <f aca="false">IF(OR(D25="",E25=""),"",(E25-D25)*1440)</f>
        <v/>
      </c>
      <c r="G25" s="18" t="s">
        <v>66</v>
      </c>
      <c r="H25" s="19" t="s">
        <v>67</v>
      </c>
      <c r="I25" s="19" t="s">
        <v>103</v>
      </c>
      <c r="J25" s="20"/>
    </row>
    <row r="26" customFormat="false" ht="15" hidden="false" customHeight="false" outlineLevel="0" collapsed="false">
      <c r="A26" s="15" t="n">
        <v>2</v>
      </c>
      <c r="B26" s="16" t="n">
        <v>46131</v>
      </c>
      <c r="C26" s="6" t="s">
        <v>16</v>
      </c>
      <c r="D26" s="7" t="n">
        <v>0.190972222222222</v>
      </c>
      <c r="E26" s="7" t="n">
        <v>0.197916666666667</v>
      </c>
      <c r="F26" s="17" t="n">
        <f aca="false">IF(OR(D26="",E26=""),"",(E26-D26)*1440)</f>
        <v>10</v>
      </c>
      <c r="G26" s="21" t="s">
        <v>69</v>
      </c>
      <c r="H26" s="19" t="s">
        <v>70</v>
      </c>
      <c r="I26" s="24"/>
      <c r="J26" s="22" t="s">
        <v>97</v>
      </c>
    </row>
    <row r="27" customFormat="false" ht="15" hidden="false" customHeight="false" outlineLevel="0" collapsed="false">
      <c r="A27" s="15" t="n">
        <v>2</v>
      </c>
      <c r="B27" s="16" t="n">
        <v>46131</v>
      </c>
      <c r="C27" s="6" t="s">
        <v>16</v>
      </c>
      <c r="D27" s="7" t="n">
        <v>0.197916666666667</v>
      </c>
      <c r="E27" s="7" t="n">
        <v>0.21875</v>
      </c>
      <c r="F27" s="17" t="n">
        <f aca="false">IF(OR(D27="",E27=""),"",(E27-D27)*1440)</f>
        <v>30</v>
      </c>
      <c r="G27" s="25" t="s">
        <v>80</v>
      </c>
      <c r="H27" s="19" t="s">
        <v>113</v>
      </c>
      <c r="I27" s="19" t="s">
        <v>114</v>
      </c>
      <c r="J27" s="22" t="s">
        <v>115</v>
      </c>
    </row>
    <row r="28" customFormat="false" ht="15" hidden="false" customHeight="false" outlineLevel="0" collapsed="false">
      <c r="A28" s="15" t="n">
        <v>2</v>
      </c>
      <c r="B28" s="16" t="n">
        <v>46131</v>
      </c>
      <c r="C28" s="6" t="s">
        <v>16</v>
      </c>
      <c r="D28" s="7" t="n">
        <v>0.21875</v>
      </c>
      <c r="E28" s="7" t="n">
        <v>0.225694444444444</v>
      </c>
      <c r="F28" s="17" t="n">
        <f aca="false">IF(OR(D28="",E28=""),"",(E28-D28)*1440)</f>
        <v>10</v>
      </c>
      <c r="G28" s="21" t="s">
        <v>69</v>
      </c>
      <c r="H28" s="19" t="s">
        <v>70</v>
      </c>
      <c r="I28" s="24"/>
      <c r="J28" s="22" t="s">
        <v>101</v>
      </c>
    </row>
    <row r="29" customFormat="false" ht="15" hidden="false" customHeight="false" outlineLevel="0" collapsed="false">
      <c r="A29" s="15" t="n">
        <v>2</v>
      </c>
      <c r="B29" s="16" t="n">
        <v>46131</v>
      </c>
      <c r="C29" s="6" t="s">
        <v>16</v>
      </c>
      <c r="D29" s="7" t="n">
        <v>0.225694444444444</v>
      </c>
      <c r="E29" s="7" t="n">
        <v>0.25</v>
      </c>
      <c r="F29" s="17" t="n">
        <f aca="false">IF(OR(D29="",E29=""),"",(E29-D29)*1440)</f>
        <v>35</v>
      </c>
      <c r="G29" s="18" t="s">
        <v>66</v>
      </c>
      <c r="H29" s="19" t="s">
        <v>116</v>
      </c>
      <c r="I29" s="19" t="s">
        <v>103</v>
      </c>
      <c r="J29" s="20"/>
    </row>
    <row r="30" customFormat="false" ht="15" hidden="false" customHeight="false" outlineLevel="0" collapsed="false">
      <c r="A30" s="15" t="n">
        <v>2</v>
      </c>
      <c r="B30" s="16" t="n">
        <v>46131</v>
      </c>
      <c r="C30" s="6" t="s">
        <v>16</v>
      </c>
      <c r="D30" s="7" t="n">
        <v>0.25</v>
      </c>
      <c r="E30" s="7" t="n">
        <v>0.291666666666667</v>
      </c>
      <c r="F30" s="17" t="n">
        <f aca="false">IF(OR(D30="",E30=""),"",(E30-D30)*1440)</f>
        <v>60</v>
      </c>
      <c r="G30" s="26" t="s">
        <v>104</v>
      </c>
      <c r="H30" s="19" t="s">
        <v>117</v>
      </c>
      <c r="I30" s="19" t="s">
        <v>103</v>
      </c>
      <c r="J30" s="22" t="s">
        <v>118</v>
      </c>
    </row>
    <row r="31" customFormat="false" ht="15" hidden="false" customHeight="false" outlineLevel="0" collapsed="false">
      <c r="A31" s="15" t="n">
        <v>2</v>
      </c>
      <c r="B31" s="16" t="n">
        <v>46131</v>
      </c>
      <c r="C31" s="6" t="s">
        <v>16</v>
      </c>
      <c r="D31" s="7" t="n">
        <v>0.291666666666667</v>
      </c>
      <c r="E31" s="7" t="n">
        <v>0.298611111111111</v>
      </c>
      <c r="F31" s="17" t="n">
        <f aca="false">IF(OR(D31="",E31=""),"",(E31-D31)*1440)</f>
        <v>10</v>
      </c>
      <c r="G31" s="21" t="s">
        <v>69</v>
      </c>
      <c r="H31" s="19" t="s">
        <v>119</v>
      </c>
      <c r="I31" s="24"/>
      <c r="J31" s="22" t="s">
        <v>120</v>
      </c>
    </row>
    <row r="32" customFormat="false" ht="15" hidden="false" customHeight="false" outlineLevel="0" collapsed="false">
      <c r="A32" s="15" t="n">
        <v>2</v>
      </c>
      <c r="B32" s="16" t="n">
        <v>46131</v>
      </c>
      <c r="C32" s="6" t="s">
        <v>16</v>
      </c>
      <c r="D32" s="7" t="n">
        <v>0.298611111111111</v>
      </c>
      <c r="E32" s="7" t="n">
        <v>0.333333333333333</v>
      </c>
      <c r="F32" s="17" t="n">
        <f aca="false">IF(OR(D32="",E32=""),"",(E32-D32)*1440)</f>
        <v>50</v>
      </c>
      <c r="G32" s="25" t="s">
        <v>80</v>
      </c>
      <c r="H32" s="19" t="s">
        <v>121</v>
      </c>
      <c r="I32" s="19" t="s">
        <v>122</v>
      </c>
      <c r="J32" s="20"/>
    </row>
    <row r="33" customFormat="false" ht="15" hidden="false" customHeight="false" outlineLevel="0" collapsed="false">
      <c r="A33" s="15" t="n">
        <v>2</v>
      </c>
      <c r="B33" s="16" t="n">
        <v>46131</v>
      </c>
      <c r="C33" s="6" t="s">
        <v>16</v>
      </c>
      <c r="D33" s="7" t="n">
        <v>0.333333333333333</v>
      </c>
      <c r="E33" s="7" t="n">
        <v>0.347222222222222</v>
      </c>
      <c r="F33" s="17" t="n">
        <f aca="false">IF(OR(D33="",E33=""),"",(E33-D33)*1440)</f>
        <v>20</v>
      </c>
      <c r="G33" s="21" t="s">
        <v>69</v>
      </c>
      <c r="H33" s="19" t="s">
        <v>70</v>
      </c>
      <c r="I33" s="24"/>
      <c r="J33" s="22" t="s">
        <v>123</v>
      </c>
    </row>
    <row r="34" customFormat="false" ht="15" hidden="false" customHeight="false" outlineLevel="0" collapsed="false">
      <c r="A34" s="15" t="n">
        <v>2</v>
      </c>
      <c r="B34" s="16" t="n">
        <v>46131</v>
      </c>
      <c r="C34" s="6" t="s">
        <v>16</v>
      </c>
      <c r="D34" s="7" t="n">
        <v>0.347222222222222</v>
      </c>
      <c r="E34" s="7" t="n">
        <v>0.388888888888889</v>
      </c>
      <c r="F34" s="17" t="n">
        <f aca="false">IF(OR(D34="",E34=""),"",(E34-D34)*1440)</f>
        <v>60</v>
      </c>
      <c r="G34" s="25" t="s">
        <v>80</v>
      </c>
      <c r="H34" s="19" t="s">
        <v>124</v>
      </c>
      <c r="I34" s="19" t="s">
        <v>125</v>
      </c>
      <c r="J34" s="22" t="s">
        <v>126</v>
      </c>
    </row>
    <row r="35" customFormat="false" ht="15" hidden="false" customHeight="false" outlineLevel="0" collapsed="false">
      <c r="A35" s="15" t="n">
        <v>2</v>
      </c>
      <c r="B35" s="16" t="n">
        <v>46131</v>
      </c>
      <c r="C35" s="6" t="s">
        <v>16</v>
      </c>
      <c r="D35" s="7" t="n">
        <v>0.388888888888889</v>
      </c>
      <c r="E35" s="7" t="n">
        <v>0.409722222222222</v>
      </c>
      <c r="F35" s="17" t="n">
        <f aca="false">IF(OR(D35="",E35=""),"",(E35-D35)*1440)</f>
        <v>30</v>
      </c>
      <c r="G35" s="21" t="s">
        <v>69</v>
      </c>
      <c r="H35" s="19" t="s">
        <v>70</v>
      </c>
      <c r="I35" s="24"/>
      <c r="J35" s="22" t="s">
        <v>127</v>
      </c>
    </row>
    <row r="36" customFormat="false" ht="15" hidden="false" customHeight="false" outlineLevel="0" collapsed="false">
      <c r="A36" s="15" t="n">
        <v>2</v>
      </c>
      <c r="B36" s="16" t="n">
        <v>46131</v>
      </c>
      <c r="C36" s="6" t="s">
        <v>16</v>
      </c>
      <c r="D36" s="7" t="n">
        <v>0.409722222222222</v>
      </c>
      <c r="E36" s="7" t="n">
        <v>0.451388888888889</v>
      </c>
      <c r="F36" s="17" t="n">
        <f aca="false">IF(OR(D36="",E36=""),"",(E36-D36)*1440)</f>
        <v>60</v>
      </c>
      <c r="G36" s="25" t="s">
        <v>80</v>
      </c>
      <c r="H36" s="19" t="s">
        <v>128</v>
      </c>
      <c r="I36" s="19" t="s">
        <v>129</v>
      </c>
      <c r="J36" s="22" t="s">
        <v>130</v>
      </c>
    </row>
    <row r="37" customFormat="false" ht="15" hidden="false" customHeight="false" outlineLevel="0" collapsed="false">
      <c r="A37" s="15" t="n">
        <v>2</v>
      </c>
      <c r="B37" s="16" t="n">
        <v>46131</v>
      </c>
      <c r="C37" s="6" t="s">
        <v>16</v>
      </c>
      <c r="D37" s="7" t="n">
        <v>0.451388888888889</v>
      </c>
      <c r="E37" s="7" t="n">
        <v>0.472222222222222</v>
      </c>
      <c r="F37" s="17" t="n">
        <f aca="false">IF(OR(D37="",E37=""),"",(E37-D37)*1440)</f>
        <v>30</v>
      </c>
      <c r="G37" s="21" t="s">
        <v>69</v>
      </c>
      <c r="H37" s="19" t="s">
        <v>70</v>
      </c>
      <c r="I37" s="24"/>
      <c r="J37" s="22" t="s">
        <v>131</v>
      </c>
    </row>
    <row r="38" customFormat="false" ht="15" hidden="false" customHeight="false" outlineLevel="0" collapsed="false">
      <c r="A38" s="15" t="n">
        <v>2</v>
      </c>
      <c r="B38" s="16" t="n">
        <v>46131</v>
      </c>
      <c r="C38" s="6" t="s">
        <v>16</v>
      </c>
      <c r="D38" s="7" t="n">
        <v>0.472222222222222</v>
      </c>
      <c r="E38" s="7" t="n">
        <v>0.5</v>
      </c>
      <c r="F38" s="17" t="n">
        <f aca="false">IF(OR(D38="",E38=""),"",(E38-D38)*1440)</f>
        <v>40</v>
      </c>
      <c r="G38" s="26" t="s">
        <v>104</v>
      </c>
      <c r="H38" s="19" t="s">
        <v>132</v>
      </c>
      <c r="I38" s="24" t="s">
        <v>133</v>
      </c>
      <c r="J38" s="22" t="s">
        <v>134</v>
      </c>
    </row>
    <row r="39" customFormat="false" ht="15" hidden="false" customHeight="false" outlineLevel="0" collapsed="false">
      <c r="A39" s="15" t="n">
        <v>2</v>
      </c>
      <c r="B39" s="16" t="n">
        <v>46131</v>
      </c>
      <c r="C39" s="6" t="s">
        <v>16</v>
      </c>
      <c r="D39" s="7" t="n">
        <v>0.5</v>
      </c>
      <c r="E39" s="7" t="n">
        <v>0.583333333333333</v>
      </c>
      <c r="F39" s="17" t="n">
        <f aca="false">IF(OR(D39="",E39=""),"",(E39-D39)*1440)</f>
        <v>120</v>
      </c>
      <c r="G39" s="25" t="s">
        <v>80</v>
      </c>
      <c r="H39" s="19" t="s">
        <v>135</v>
      </c>
      <c r="I39" s="19" t="s">
        <v>136</v>
      </c>
      <c r="J39" s="22" t="s">
        <v>137</v>
      </c>
    </row>
    <row r="40" customFormat="false" ht="15" hidden="false" customHeight="false" outlineLevel="0" collapsed="false">
      <c r="A40" s="15" t="n">
        <v>2</v>
      </c>
      <c r="B40" s="16" t="n">
        <v>46131</v>
      </c>
      <c r="C40" s="6" t="s">
        <v>16</v>
      </c>
      <c r="D40" s="7" t="n">
        <v>0.583333333333333</v>
      </c>
      <c r="E40" s="7" t="n">
        <v>0.625</v>
      </c>
      <c r="F40" s="17" t="n">
        <f aca="false">IF(OR(D40="",E40=""),"",(E40-D40)*1440)</f>
        <v>60</v>
      </c>
      <c r="G40" s="21" t="s">
        <v>69</v>
      </c>
      <c r="H40" s="19" t="s">
        <v>70</v>
      </c>
      <c r="I40" s="24"/>
      <c r="J40" s="22" t="s">
        <v>138</v>
      </c>
    </row>
    <row r="41" customFormat="false" ht="15" hidden="false" customHeight="false" outlineLevel="0" collapsed="false">
      <c r="A41" s="15" t="n">
        <v>2</v>
      </c>
      <c r="B41" s="16" t="n">
        <v>46131</v>
      </c>
      <c r="C41" s="6" t="s">
        <v>16</v>
      </c>
      <c r="D41" s="7" t="n">
        <v>0.625</v>
      </c>
      <c r="E41" s="7" t="n">
        <v>0.770833333333333</v>
      </c>
      <c r="F41" s="17" t="n">
        <f aca="false">IF(OR(D41="",E41=""),"",(E41-D41)*1440)</f>
        <v>210</v>
      </c>
      <c r="G41" s="25" t="s">
        <v>80</v>
      </c>
      <c r="H41" s="19" t="s">
        <v>139</v>
      </c>
      <c r="I41" s="19" t="s">
        <v>140</v>
      </c>
      <c r="J41" s="22" t="s">
        <v>141</v>
      </c>
    </row>
    <row r="42" customFormat="false" ht="15" hidden="false" customHeight="false" outlineLevel="0" collapsed="false">
      <c r="A42" s="15" t="n">
        <v>2</v>
      </c>
      <c r="B42" s="16" t="n">
        <v>46131</v>
      </c>
      <c r="C42" s="6" t="s">
        <v>16</v>
      </c>
      <c r="D42" s="7" t="n">
        <v>0.770833333333333</v>
      </c>
      <c r="E42" s="7" t="n">
        <v>0.805555555555556</v>
      </c>
      <c r="F42" s="17" t="n">
        <f aca="false">IF(OR(D42="",E42=""),"",(E42-D42)*1440)</f>
        <v>50</v>
      </c>
      <c r="G42" s="21" t="s">
        <v>69</v>
      </c>
      <c r="H42" s="19" t="s">
        <v>70</v>
      </c>
      <c r="I42" s="24"/>
      <c r="J42" s="22" t="s">
        <v>142</v>
      </c>
    </row>
    <row r="43" customFormat="false" ht="15" hidden="false" customHeight="false" outlineLevel="0" collapsed="false">
      <c r="A43" s="15" t="n">
        <v>2</v>
      </c>
      <c r="B43" s="16" t="n">
        <v>46131</v>
      </c>
      <c r="C43" s="6" t="s">
        <v>16</v>
      </c>
      <c r="D43" s="7" t="n">
        <v>0.805555555555556</v>
      </c>
      <c r="E43" s="7" t="n">
        <v>0.819444444444444</v>
      </c>
      <c r="F43" s="17" t="n">
        <f aca="false">IF(OR(D43="",E43=""),"",(E43-D43)*1440)</f>
        <v>20</v>
      </c>
      <c r="G43" s="18" t="s">
        <v>66</v>
      </c>
      <c r="H43" s="24" t="s">
        <v>102</v>
      </c>
      <c r="I43" s="19" t="s">
        <v>18</v>
      </c>
      <c r="J43" s="20" t="s">
        <v>143</v>
      </c>
    </row>
    <row r="44" customFormat="false" ht="15" hidden="false" customHeight="false" outlineLevel="0" collapsed="false">
      <c r="A44" s="15" t="n">
        <v>2</v>
      </c>
      <c r="B44" s="16" t="n">
        <v>46131</v>
      </c>
      <c r="C44" s="6" t="s">
        <v>16</v>
      </c>
      <c r="D44" s="7" t="n">
        <v>0.819444444444444</v>
      </c>
      <c r="E44" s="7" t="n">
        <v>0.822916666666667</v>
      </c>
      <c r="F44" s="17" t="n">
        <f aca="false">IF(OR(D44="",E44=""),"",(E44-D44)*1440)</f>
        <v>5</v>
      </c>
      <c r="G44" s="21" t="s">
        <v>69</v>
      </c>
      <c r="H44" s="19" t="s">
        <v>70</v>
      </c>
      <c r="I44" s="24"/>
      <c r="J44" s="22" t="s">
        <v>144</v>
      </c>
    </row>
    <row r="45" customFormat="false" ht="15" hidden="false" customHeight="false" outlineLevel="0" collapsed="false">
      <c r="A45" s="15" t="n">
        <v>2</v>
      </c>
      <c r="B45" s="16" t="n">
        <v>46131</v>
      </c>
      <c r="C45" s="6" t="s">
        <v>16</v>
      </c>
      <c r="D45" s="7" t="n">
        <v>0.822916666666667</v>
      </c>
      <c r="E45" s="7" t="n">
        <v>0.864583333333333</v>
      </c>
      <c r="F45" s="17" t="n">
        <f aca="false">IF(OR(D45="",E45=""),"",(E45-D45)*1440)</f>
        <v>60</v>
      </c>
      <c r="G45" s="26" t="s">
        <v>104</v>
      </c>
      <c r="H45" s="19" t="s">
        <v>145</v>
      </c>
      <c r="I45" s="24" t="s">
        <v>146</v>
      </c>
      <c r="J45" s="22" t="s">
        <v>147</v>
      </c>
    </row>
    <row r="46" customFormat="false" ht="15" hidden="false" customHeight="false" outlineLevel="0" collapsed="false">
      <c r="A46" s="15" t="n">
        <v>2</v>
      </c>
      <c r="B46" s="16" t="n">
        <v>46131</v>
      </c>
      <c r="C46" s="6" t="s">
        <v>16</v>
      </c>
      <c r="D46" s="7" t="n">
        <v>0.864583333333333</v>
      </c>
      <c r="E46" s="7" t="n">
        <v>0.875</v>
      </c>
      <c r="F46" s="17" t="n">
        <f aca="false">IF(OR(D46="",E46=""),"",(E46-D46)*1440)</f>
        <v>15</v>
      </c>
      <c r="G46" s="26" t="s">
        <v>104</v>
      </c>
      <c r="H46" s="19" t="s">
        <v>148</v>
      </c>
      <c r="I46" s="19" t="s">
        <v>149</v>
      </c>
      <c r="J46" s="20"/>
    </row>
    <row r="47" customFormat="false" ht="15" hidden="false" customHeight="false" outlineLevel="0" collapsed="false">
      <c r="A47" s="15" t="n">
        <v>2</v>
      </c>
      <c r="B47" s="16" t="n">
        <v>46131</v>
      </c>
      <c r="C47" s="6" t="s">
        <v>16</v>
      </c>
      <c r="D47" s="7" t="n">
        <v>0.875</v>
      </c>
      <c r="E47" s="7" t="n">
        <v>0.878472222222222</v>
      </c>
      <c r="F47" s="17" t="n">
        <f aca="false">IF(OR(D47="",E47=""),"",(E47-D47)*1440)</f>
        <v>5</v>
      </c>
      <c r="G47" s="21" t="s">
        <v>69</v>
      </c>
      <c r="H47" s="19" t="s">
        <v>70</v>
      </c>
      <c r="I47" s="24"/>
      <c r="J47" s="22" t="s">
        <v>142</v>
      </c>
    </row>
    <row r="48" customFormat="false" ht="15" hidden="false" customHeight="false" outlineLevel="0" collapsed="false">
      <c r="A48" s="15" t="n">
        <v>2</v>
      </c>
      <c r="B48" s="16" t="n">
        <v>46131</v>
      </c>
      <c r="C48" s="6" t="s">
        <v>16</v>
      </c>
      <c r="D48" s="15"/>
      <c r="E48" s="15"/>
      <c r="F48" s="17" t="str">
        <f aca="false">IF(OR(D48="",E48=""),"",(E48-D48)*1440)</f>
        <v/>
      </c>
      <c r="G48" s="18" t="s">
        <v>66</v>
      </c>
      <c r="H48" s="19" t="s">
        <v>111</v>
      </c>
      <c r="I48" s="19" t="s">
        <v>18</v>
      </c>
      <c r="J48" s="20" t="s">
        <v>150</v>
      </c>
    </row>
    <row r="49" customFormat="false" ht="15" hidden="false" customHeight="false" outlineLevel="0" collapsed="false">
      <c r="A49" s="15" t="n">
        <v>3</v>
      </c>
      <c r="B49" s="16" t="n">
        <v>46132</v>
      </c>
      <c r="C49" s="6" t="s">
        <v>21</v>
      </c>
      <c r="D49" s="15"/>
      <c r="E49" s="15"/>
      <c r="F49" s="17" t="str">
        <f aca="false">IF(OR(D49="",E49=""),"",(E49-D49)*1440)</f>
        <v/>
      </c>
      <c r="G49" s="18" t="s">
        <v>66</v>
      </c>
      <c r="H49" s="19" t="s">
        <v>151</v>
      </c>
      <c r="I49" s="19" t="s">
        <v>18</v>
      </c>
      <c r="J49" s="20"/>
    </row>
    <row r="50" customFormat="false" ht="15" hidden="false" customHeight="false" outlineLevel="0" collapsed="false">
      <c r="A50" s="15" t="n">
        <v>3</v>
      </c>
      <c r="B50" s="16" t="n">
        <v>46132</v>
      </c>
      <c r="C50" s="6" t="s">
        <v>21</v>
      </c>
      <c r="D50" s="7" t="n">
        <v>0.350694444444444</v>
      </c>
      <c r="E50" s="7" t="n">
        <v>0.351388888888889</v>
      </c>
      <c r="F50" s="17" t="n">
        <f aca="false">IF(OR(D50="",E50=""),"",(E50-D50)*1440)</f>
        <v>1</v>
      </c>
      <c r="G50" s="21" t="s">
        <v>69</v>
      </c>
      <c r="H50" s="19" t="s">
        <v>70</v>
      </c>
      <c r="I50" s="24"/>
      <c r="J50" s="20"/>
    </row>
    <row r="51" customFormat="false" ht="15" hidden="false" customHeight="false" outlineLevel="0" collapsed="false">
      <c r="A51" s="15" t="n">
        <v>3</v>
      </c>
      <c r="B51" s="16" t="n">
        <v>46132</v>
      </c>
      <c r="C51" s="6" t="s">
        <v>21</v>
      </c>
      <c r="D51" s="7" t="n">
        <v>0.351388888888889</v>
      </c>
      <c r="E51" s="7" t="n">
        <v>0.357638888888889</v>
      </c>
      <c r="F51" s="17" t="n">
        <f aca="false">IF(OR(D51="",E51=""),"",(E51-D51)*1440)</f>
        <v>9</v>
      </c>
      <c r="G51" s="26" t="s">
        <v>104</v>
      </c>
      <c r="H51" s="19" t="s">
        <v>152</v>
      </c>
      <c r="I51" s="19" t="s">
        <v>153</v>
      </c>
      <c r="J51" s="22" t="s">
        <v>154</v>
      </c>
    </row>
    <row r="52" customFormat="false" ht="15" hidden="false" customHeight="false" outlineLevel="0" collapsed="false">
      <c r="A52" s="15" t="n">
        <v>3</v>
      </c>
      <c r="B52" s="16" t="n">
        <v>46132</v>
      </c>
      <c r="C52" s="6" t="s">
        <v>21</v>
      </c>
      <c r="D52" s="7" t="n">
        <v>0.357638888888889</v>
      </c>
      <c r="E52" s="7" t="n">
        <v>0.375</v>
      </c>
      <c r="F52" s="17" t="n">
        <f aca="false">IF(OR(D52="",E52=""),"",(E52-D52)*1440)</f>
        <v>25</v>
      </c>
      <c r="G52" s="21" t="s">
        <v>69</v>
      </c>
      <c r="H52" s="19" t="s">
        <v>70</v>
      </c>
      <c r="I52" s="24"/>
      <c r="J52" s="22" t="s">
        <v>155</v>
      </c>
    </row>
    <row r="53" customFormat="false" ht="26.85" hidden="false" customHeight="false" outlineLevel="0" collapsed="false">
      <c r="A53" s="15" t="n">
        <v>3</v>
      </c>
      <c r="B53" s="16" t="n">
        <v>46132</v>
      </c>
      <c r="C53" s="6" t="s">
        <v>21</v>
      </c>
      <c r="D53" s="7" t="n">
        <v>0.375</v>
      </c>
      <c r="E53" s="7" t="n">
        <v>0.395833333333333</v>
      </c>
      <c r="F53" s="17" t="n">
        <f aca="false">IF(OR(D53="",E53=""),"",(E53-D53)*1440)</f>
        <v>30</v>
      </c>
      <c r="G53" s="23" t="s">
        <v>73</v>
      </c>
      <c r="H53" s="19" t="s">
        <v>156</v>
      </c>
      <c r="I53" s="19" t="s">
        <v>157</v>
      </c>
      <c r="J53" s="22" t="s">
        <v>158</v>
      </c>
    </row>
    <row r="54" customFormat="false" ht="29.85" hidden="false" customHeight="false" outlineLevel="0" collapsed="false">
      <c r="A54" s="15" t="n">
        <v>3</v>
      </c>
      <c r="B54" s="16" t="n">
        <v>46132</v>
      </c>
      <c r="C54" s="6" t="s">
        <v>21</v>
      </c>
      <c r="D54" s="7" t="n">
        <v>0.395833333333333</v>
      </c>
      <c r="E54" s="7" t="n">
        <v>0.4375</v>
      </c>
      <c r="F54" s="17" t="n">
        <f aca="false">IF(OR(D54="",E54=""),"",(E54-D54)*1440)</f>
        <v>60</v>
      </c>
      <c r="G54" s="25" t="s">
        <v>80</v>
      </c>
      <c r="H54" s="19" t="s">
        <v>159</v>
      </c>
      <c r="I54" s="19" t="s">
        <v>157</v>
      </c>
      <c r="J54" s="22" t="s">
        <v>160</v>
      </c>
    </row>
    <row r="55" customFormat="false" ht="15" hidden="false" customHeight="false" outlineLevel="0" collapsed="false">
      <c r="A55" s="15" t="n">
        <v>3</v>
      </c>
      <c r="B55" s="16" t="n">
        <v>46132</v>
      </c>
      <c r="C55" s="6" t="s">
        <v>21</v>
      </c>
      <c r="D55" s="7" t="n">
        <v>0.4375</v>
      </c>
      <c r="E55" s="7" t="n">
        <v>0.479166666666667</v>
      </c>
      <c r="F55" s="17" t="n">
        <f aca="false">IF(OR(D55="",E55=""),"",(E55-D55)*1440)</f>
        <v>60</v>
      </c>
      <c r="G55" s="25" t="s">
        <v>80</v>
      </c>
      <c r="H55" s="19" t="s">
        <v>161</v>
      </c>
      <c r="I55" s="19" t="s">
        <v>157</v>
      </c>
      <c r="J55" s="20"/>
    </row>
    <row r="56" customFormat="false" ht="15" hidden="false" customHeight="false" outlineLevel="0" collapsed="false">
      <c r="A56" s="15" t="n">
        <v>3</v>
      </c>
      <c r="B56" s="16" t="n">
        <v>46132</v>
      </c>
      <c r="C56" s="6" t="s">
        <v>21</v>
      </c>
      <c r="D56" s="7" t="n">
        <v>0.479166666666667</v>
      </c>
      <c r="E56" s="7" t="n">
        <v>0.5</v>
      </c>
      <c r="F56" s="17" t="n">
        <f aca="false">IF(OR(D56="",E56=""),"",(E56-D56)*1440)</f>
        <v>30</v>
      </c>
      <c r="G56" s="25" t="s">
        <v>80</v>
      </c>
      <c r="H56" s="19" t="s">
        <v>162</v>
      </c>
      <c r="I56" s="19" t="s">
        <v>157</v>
      </c>
      <c r="J56" s="22" t="s">
        <v>163</v>
      </c>
    </row>
    <row r="57" customFormat="false" ht="15" hidden="false" customHeight="false" outlineLevel="0" collapsed="false">
      <c r="A57" s="15" t="n">
        <v>3</v>
      </c>
      <c r="B57" s="16" t="n">
        <v>46132</v>
      </c>
      <c r="C57" s="6" t="s">
        <v>21</v>
      </c>
      <c r="D57" s="7" t="n">
        <v>0.5</v>
      </c>
      <c r="E57" s="7" t="n">
        <v>0.520833333333333</v>
      </c>
      <c r="F57" s="17" t="n">
        <f aca="false">IF(OR(D57="",E57=""),"",(E57-D57)*1440)</f>
        <v>30</v>
      </c>
      <c r="G57" s="25" t="s">
        <v>80</v>
      </c>
      <c r="H57" s="19" t="s">
        <v>164</v>
      </c>
      <c r="I57" s="19" t="s">
        <v>157</v>
      </c>
      <c r="J57" s="22" t="s">
        <v>163</v>
      </c>
    </row>
    <row r="58" customFormat="false" ht="15" hidden="false" customHeight="false" outlineLevel="0" collapsed="false">
      <c r="A58" s="15" t="n">
        <v>3</v>
      </c>
      <c r="B58" s="16" t="n">
        <v>46132</v>
      </c>
      <c r="C58" s="6" t="s">
        <v>21</v>
      </c>
      <c r="D58" s="7" t="n">
        <v>0.520833333333333</v>
      </c>
      <c r="E58" s="7" t="n">
        <v>0.541666666666667</v>
      </c>
      <c r="F58" s="17" t="n">
        <f aca="false">IF(OR(D58="",E58=""),"",(E58-D58)*1440)</f>
        <v>30</v>
      </c>
      <c r="G58" s="23" t="s">
        <v>73</v>
      </c>
      <c r="H58" s="19" t="s">
        <v>165</v>
      </c>
      <c r="I58" s="19" t="s">
        <v>157</v>
      </c>
      <c r="J58" s="20"/>
    </row>
    <row r="59" customFormat="false" ht="15" hidden="false" customHeight="false" outlineLevel="0" collapsed="false">
      <c r="A59" s="15" t="n">
        <v>3</v>
      </c>
      <c r="B59" s="16" t="n">
        <v>46132</v>
      </c>
      <c r="C59" s="6" t="s">
        <v>21</v>
      </c>
      <c r="D59" s="7" t="n">
        <v>0.541666666666667</v>
      </c>
      <c r="E59" s="7" t="n">
        <v>0.583333333333333</v>
      </c>
      <c r="F59" s="17" t="n">
        <f aca="false">IF(OR(D59="",E59=""),"",(E59-D59)*1440)</f>
        <v>60</v>
      </c>
      <c r="G59" s="26" t="s">
        <v>104</v>
      </c>
      <c r="H59" s="19" t="s">
        <v>166</v>
      </c>
      <c r="I59" s="19" t="s">
        <v>157</v>
      </c>
      <c r="J59" s="22" t="s">
        <v>167</v>
      </c>
    </row>
    <row r="60" customFormat="false" ht="29.85" hidden="false" customHeight="false" outlineLevel="0" collapsed="false">
      <c r="A60" s="15" t="n">
        <v>3</v>
      </c>
      <c r="B60" s="16" t="n">
        <v>46132</v>
      </c>
      <c r="C60" s="6" t="s">
        <v>21</v>
      </c>
      <c r="D60" s="7" t="n">
        <v>0.583333333333333</v>
      </c>
      <c r="E60" s="7" t="n">
        <v>0.614583333333333</v>
      </c>
      <c r="F60" s="17" t="n">
        <f aca="false">IF(OR(D60="",E60=""),"",(E60-D60)*1440)</f>
        <v>45</v>
      </c>
      <c r="G60" s="21" t="s">
        <v>69</v>
      </c>
      <c r="H60" s="19" t="s">
        <v>70</v>
      </c>
      <c r="I60" s="24"/>
      <c r="J60" s="22" t="s">
        <v>168</v>
      </c>
    </row>
    <row r="61" customFormat="false" ht="15" hidden="false" customHeight="false" outlineLevel="0" collapsed="false">
      <c r="A61" s="15" t="n">
        <v>3</v>
      </c>
      <c r="B61" s="16" t="n">
        <v>46132</v>
      </c>
      <c r="C61" s="6" t="s">
        <v>21</v>
      </c>
      <c r="D61" s="7" t="n">
        <v>0.614583333333333</v>
      </c>
      <c r="E61" s="7" t="n">
        <v>0.621527777777778</v>
      </c>
      <c r="F61" s="17" t="n">
        <f aca="false">IF(OR(D61="",E61=""),"",(E61-D61)*1440)</f>
        <v>10</v>
      </c>
      <c r="G61" s="21" t="s">
        <v>69</v>
      </c>
      <c r="H61" s="19" t="s">
        <v>169</v>
      </c>
      <c r="I61" s="24"/>
      <c r="J61" s="22" t="s">
        <v>170</v>
      </c>
    </row>
    <row r="62" customFormat="false" ht="15" hidden="false" customHeight="false" outlineLevel="0" collapsed="false">
      <c r="A62" s="15" t="n">
        <v>3</v>
      </c>
      <c r="B62" s="16" t="n">
        <v>46132</v>
      </c>
      <c r="C62" s="6" t="s">
        <v>21</v>
      </c>
      <c r="D62" s="7" t="n">
        <v>0.621527777777778</v>
      </c>
      <c r="E62" s="7" t="n">
        <v>0.649305555555556</v>
      </c>
      <c r="F62" s="17" t="n">
        <f aca="false">IF(OR(D62="",E62=""),"",(E62-D62)*1440)</f>
        <v>40</v>
      </c>
      <c r="G62" s="25" t="s">
        <v>80</v>
      </c>
      <c r="H62" s="19" t="s">
        <v>171</v>
      </c>
      <c r="I62" s="19" t="s">
        <v>172</v>
      </c>
      <c r="J62" s="20" t="s">
        <v>173</v>
      </c>
    </row>
    <row r="63" customFormat="false" ht="15" hidden="false" customHeight="false" outlineLevel="0" collapsed="false">
      <c r="A63" s="15" t="n">
        <v>3</v>
      </c>
      <c r="B63" s="16" t="n">
        <v>46132</v>
      </c>
      <c r="C63" s="6" t="s">
        <v>21</v>
      </c>
      <c r="D63" s="7" t="n">
        <v>0.649305555555556</v>
      </c>
      <c r="E63" s="7" t="n">
        <v>0.690972222222222</v>
      </c>
      <c r="F63" s="17" t="n">
        <f aca="false">IF(OR(D63="",E63=""),"",(E63-D63)*1440)</f>
        <v>60</v>
      </c>
      <c r="G63" s="25" t="s">
        <v>80</v>
      </c>
      <c r="H63" s="19" t="s">
        <v>174</v>
      </c>
      <c r="I63" s="19" t="s">
        <v>175</v>
      </c>
      <c r="J63" s="20" t="s">
        <v>176</v>
      </c>
    </row>
    <row r="64" customFormat="false" ht="15" hidden="false" customHeight="false" outlineLevel="0" collapsed="false">
      <c r="A64" s="15" t="n">
        <v>3</v>
      </c>
      <c r="B64" s="16" t="n">
        <v>46132</v>
      </c>
      <c r="C64" s="6" t="s">
        <v>21</v>
      </c>
      <c r="D64" s="7" t="n">
        <v>0.690972222222222</v>
      </c>
      <c r="E64" s="7" t="n">
        <v>0.701388888888889</v>
      </c>
      <c r="F64" s="17" t="n">
        <f aca="false">IF(OR(D64="",E64=""),"",(E64-D64)*1440)</f>
        <v>15</v>
      </c>
      <c r="G64" s="25" t="s">
        <v>80</v>
      </c>
      <c r="H64" s="19" t="s">
        <v>177</v>
      </c>
      <c r="I64" s="24"/>
      <c r="J64" s="20"/>
    </row>
    <row r="65" customFormat="false" ht="15" hidden="false" customHeight="false" outlineLevel="0" collapsed="false">
      <c r="A65" s="15" t="n">
        <v>3</v>
      </c>
      <c r="B65" s="16" t="n">
        <v>46132</v>
      </c>
      <c r="C65" s="6" t="s">
        <v>21</v>
      </c>
      <c r="D65" s="7" t="n">
        <v>0.701388888888889</v>
      </c>
      <c r="E65" s="7" t="n">
        <v>0.732638888888889</v>
      </c>
      <c r="F65" s="17" t="n">
        <f aca="false">IF(OR(D65="",E65=""),"",(E65-D65)*1440)</f>
        <v>45</v>
      </c>
      <c r="G65" s="25" t="s">
        <v>80</v>
      </c>
      <c r="H65" s="19" t="s">
        <v>178</v>
      </c>
      <c r="I65" s="19" t="s">
        <v>179</v>
      </c>
      <c r="J65" s="22" t="s">
        <v>180</v>
      </c>
    </row>
    <row r="66" customFormat="false" ht="15" hidden="false" customHeight="false" outlineLevel="0" collapsed="false">
      <c r="A66" s="15" t="n">
        <v>3</v>
      </c>
      <c r="B66" s="16" t="n">
        <v>46132</v>
      </c>
      <c r="C66" s="6" t="s">
        <v>21</v>
      </c>
      <c r="D66" s="7" t="n">
        <v>0.732638888888889</v>
      </c>
      <c r="E66" s="7" t="n">
        <v>0.743055555555556</v>
      </c>
      <c r="F66" s="17" t="n">
        <f aca="false">IF(OR(D66="",E66=""),"",(E66-D66)*1440)</f>
        <v>15</v>
      </c>
      <c r="G66" s="25" t="s">
        <v>80</v>
      </c>
      <c r="H66" s="19" t="s">
        <v>181</v>
      </c>
      <c r="I66" s="24"/>
      <c r="J66" s="20"/>
    </row>
    <row r="67" customFormat="false" ht="29.85" hidden="false" customHeight="false" outlineLevel="0" collapsed="false">
      <c r="A67" s="15" t="n">
        <v>3</v>
      </c>
      <c r="B67" s="16" t="n">
        <v>46132</v>
      </c>
      <c r="C67" s="6" t="s">
        <v>21</v>
      </c>
      <c r="D67" s="7" t="n">
        <v>0.743055555555556</v>
      </c>
      <c r="E67" s="7" t="n">
        <v>0.75</v>
      </c>
      <c r="F67" s="17" t="n">
        <f aca="false">IF(OR(D67="",E67=""),"",(E67-D67)*1440)</f>
        <v>10</v>
      </c>
      <c r="G67" s="21" t="s">
        <v>69</v>
      </c>
      <c r="H67" s="19" t="s">
        <v>70</v>
      </c>
      <c r="I67" s="24"/>
      <c r="J67" s="22" t="s">
        <v>182</v>
      </c>
    </row>
    <row r="68" customFormat="false" ht="15" hidden="false" customHeight="false" outlineLevel="0" collapsed="false">
      <c r="A68" s="15" t="n">
        <v>3</v>
      </c>
      <c r="B68" s="16" t="n">
        <v>46132</v>
      </c>
      <c r="C68" s="6" t="s">
        <v>21</v>
      </c>
      <c r="D68" s="7" t="n">
        <v>0.75</v>
      </c>
      <c r="E68" s="7" t="n">
        <v>0.770833333333333</v>
      </c>
      <c r="F68" s="17" t="n">
        <f aca="false">IF(OR(D68="",E68=""),"",(E68-D68)*1440)</f>
        <v>30</v>
      </c>
      <c r="G68" s="25" t="s">
        <v>80</v>
      </c>
      <c r="H68" s="19" t="s">
        <v>183</v>
      </c>
      <c r="I68" s="19" t="s">
        <v>184</v>
      </c>
      <c r="J68" s="20"/>
    </row>
    <row r="69" customFormat="false" ht="15" hidden="false" customHeight="false" outlineLevel="0" collapsed="false">
      <c r="A69" s="15" t="n">
        <v>3</v>
      </c>
      <c r="B69" s="16" t="n">
        <v>46132</v>
      </c>
      <c r="C69" s="6" t="s">
        <v>21</v>
      </c>
      <c r="D69" s="7" t="n">
        <v>0.770833333333333</v>
      </c>
      <c r="E69" s="7" t="n">
        <v>0.833333333333333</v>
      </c>
      <c r="F69" s="17" t="n">
        <f aca="false">IF(OR(D69="",E69=""),"",(E69-D69)*1440)</f>
        <v>90</v>
      </c>
      <c r="G69" s="26" t="s">
        <v>104</v>
      </c>
      <c r="H69" s="19" t="s">
        <v>185</v>
      </c>
      <c r="I69" s="19" t="s">
        <v>186</v>
      </c>
      <c r="J69" s="22" t="s">
        <v>187</v>
      </c>
    </row>
    <row r="70" customFormat="false" ht="15" hidden="false" customHeight="false" outlineLevel="0" collapsed="false">
      <c r="A70" s="15" t="n">
        <v>3</v>
      </c>
      <c r="B70" s="16" t="n">
        <v>46132</v>
      </c>
      <c r="C70" s="6" t="s">
        <v>21</v>
      </c>
      <c r="D70" s="7" t="n">
        <v>0.833333333333333</v>
      </c>
      <c r="E70" s="7" t="n">
        <v>0.854166666666667</v>
      </c>
      <c r="F70" s="17" t="n">
        <f aca="false">IF(OR(D70="",E70=""),"",(E70-D70)*1440)</f>
        <v>30</v>
      </c>
      <c r="G70" s="21" t="s">
        <v>69</v>
      </c>
      <c r="H70" s="19" t="s">
        <v>70</v>
      </c>
      <c r="I70" s="24"/>
      <c r="J70" s="22" t="s">
        <v>142</v>
      </c>
    </row>
    <row r="71" customFormat="false" ht="15" hidden="false" customHeight="false" outlineLevel="0" collapsed="false">
      <c r="A71" s="15" t="n">
        <v>3</v>
      </c>
      <c r="B71" s="16" t="n">
        <v>46132</v>
      </c>
      <c r="C71" s="6" t="s">
        <v>21</v>
      </c>
      <c r="D71" s="15"/>
      <c r="E71" s="15"/>
      <c r="F71" s="17" t="str">
        <f aca="false">IF(OR(D71="",E71=""),"",(E71-D71)*1440)</f>
        <v/>
      </c>
      <c r="G71" s="18" t="s">
        <v>66</v>
      </c>
      <c r="H71" s="19" t="s">
        <v>111</v>
      </c>
      <c r="I71" s="19" t="s">
        <v>18</v>
      </c>
      <c r="J71" s="22" t="s">
        <v>188</v>
      </c>
    </row>
    <row r="72" customFormat="false" ht="15" hidden="false" customHeight="false" outlineLevel="0" collapsed="false">
      <c r="A72" s="15" t="n">
        <v>4</v>
      </c>
      <c r="B72" s="16" t="n">
        <v>46133</v>
      </c>
      <c r="C72" s="6" t="s">
        <v>25</v>
      </c>
      <c r="D72" s="15"/>
      <c r="E72" s="15"/>
      <c r="F72" s="17" t="str">
        <f aca="false">IF(OR(D72="",E72=""),"",(E72-D72)*1440)</f>
        <v/>
      </c>
      <c r="G72" s="18" t="s">
        <v>66</v>
      </c>
      <c r="H72" s="19" t="s">
        <v>67</v>
      </c>
      <c r="I72" s="19" t="s">
        <v>18</v>
      </c>
      <c r="J72" s="20"/>
    </row>
    <row r="73" customFormat="false" ht="15" hidden="false" customHeight="false" outlineLevel="0" collapsed="false">
      <c r="A73" s="15" t="n">
        <v>4</v>
      </c>
      <c r="B73" s="16" t="n">
        <v>46133</v>
      </c>
      <c r="C73" s="6" t="s">
        <v>25</v>
      </c>
      <c r="D73" s="7" t="n">
        <v>0.194444444444444</v>
      </c>
      <c r="E73" s="7" t="n">
        <v>0.197916666666667</v>
      </c>
      <c r="F73" s="17" t="n">
        <f aca="false">IF(OR(D73="",E73=""),"",(E73-D73)*1440)</f>
        <v>5</v>
      </c>
      <c r="G73" s="21" t="s">
        <v>69</v>
      </c>
      <c r="H73" s="19" t="s">
        <v>70</v>
      </c>
      <c r="I73" s="24"/>
      <c r="J73" s="22" t="s">
        <v>189</v>
      </c>
    </row>
    <row r="74" customFormat="false" ht="15" hidden="false" customHeight="false" outlineLevel="0" collapsed="false">
      <c r="A74" s="15" t="n">
        <v>4</v>
      </c>
      <c r="B74" s="16" t="n">
        <v>46133</v>
      </c>
      <c r="C74" s="6" t="s">
        <v>25</v>
      </c>
      <c r="D74" s="7" t="n">
        <v>0.197916666666667</v>
      </c>
      <c r="E74" s="7" t="n">
        <v>0.21875</v>
      </c>
      <c r="F74" s="17" t="n">
        <f aca="false">IF(OR(D74="",E74=""),"",(E74-D74)*1440)</f>
        <v>30</v>
      </c>
      <c r="G74" s="25" t="s">
        <v>80</v>
      </c>
      <c r="H74" s="19" t="s">
        <v>190</v>
      </c>
      <c r="I74" s="19" t="s">
        <v>191</v>
      </c>
      <c r="J74" s="20"/>
    </row>
    <row r="75" customFormat="false" ht="15" hidden="false" customHeight="false" outlineLevel="0" collapsed="false">
      <c r="A75" s="15" t="n">
        <v>4</v>
      </c>
      <c r="B75" s="16" t="n">
        <v>46133</v>
      </c>
      <c r="C75" s="6" t="s">
        <v>25</v>
      </c>
      <c r="D75" s="7" t="n">
        <v>0.21875</v>
      </c>
      <c r="E75" s="7" t="n">
        <v>0.222222222222222</v>
      </c>
      <c r="F75" s="17" t="n">
        <f aca="false">IF(OR(D75="",E75=""),"",(E75-D75)*1440)</f>
        <v>5</v>
      </c>
      <c r="G75" s="21" t="s">
        <v>69</v>
      </c>
      <c r="H75" s="19" t="s">
        <v>70</v>
      </c>
      <c r="I75" s="24"/>
      <c r="J75" s="22" t="s">
        <v>142</v>
      </c>
    </row>
    <row r="76" customFormat="false" ht="15" hidden="false" customHeight="false" outlineLevel="0" collapsed="false">
      <c r="A76" s="15" t="n">
        <v>4</v>
      </c>
      <c r="B76" s="16" t="n">
        <v>46133</v>
      </c>
      <c r="C76" s="6" t="s">
        <v>25</v>
      </c>
      <c r="D76" s="7" t="n">
        <v>0.222222222222222</v>
      </c>
      <c r="E76" s="7" t="n">
        <v>0.347222222222222</v>
      </c>
      <c r="F76" s="17" t="n">
        <f aca="false">IF(OR(D76="",E76=""),"",(E76-D76)*1440)</f>
        <v>180</v>
      </c>
      <c r="G76" s="18" t="s">
        <v>66</v>
      </c>
      <c r="H76" s="19" t="s">
        <v>116</v>
      </c>
      <c r="I76" s="19" t="s">
        <v>18</v>
      </c>
      <c r="J76" s="20"/>
    </row>
    <row r="77" customFormat="false" ht="15" hidden="false" customHeight="false" outlineLevel="0" collapsed="false">
      <c r="A77" s="15" t="n">
        <v>4</v>
      </c>
      <c r="B77" s="16" t="n">
        <v>46133</v>
      </c>
      <c r="C77" s="6" t="s">
        <v>25</v>
      </c>
      <c r="D77" s="7" t="n">
        <v>0.347222222222222</v>
      </c>
      <c r="E77" s="7" t="n">
        <v>0.350694444444444</v>
      </c>
      <c r="F77" s="17" t="n">
        <f aca="false">IF(OR(D77="",E77=""),"",(E77-D77)*1440)</f>
        <v>5</v>
      </c>
      <c r="G77" s="21" t="s">
        <v>69</v>
      </c>
      <c r="H77" s="19" t="s">
        <v>70</v>
      </c>
      <c r="I77" s="24"/>
      <c r="J77" s="22" t="s">
        <v>192</v>
      </c>
    </row>
    <row r="78" customFormat="false" ht="15" hidden="false" customHeight="false" outlineLevel="0" collapsed="false">
      <c r="A78" s="15" t="n">
        <v>4</v>
      </c>
      <c r="B78" s="16" t="n">
        <v>46133</v>
      </c>
      <c r="C78" s="6" t="s">
        <v>25</v>
      </c>
      <c r="D78" s="7" t="n">
        <v>0.350694444444444</v>
      </c>
      <c r="E78" s="7" t="n">
        <v>0.385416666666667</v>
      </c>
      <c r="F78" s="17" t="n">
        <f aca="false">IF(OR(D78="",E78=""),"",(E78-D78)*1440)</f>
        <v>50</v>
      </c>
      <c r="G78" s="26" t="s">
        <v>104</v>
      </c>
      <c r="H78" s="19" t="s">
        <v>193</v>
      </c>
      <c r="I78" s="19" t="s">
        <v>194</v>
      </c>
      <c r="J78" s="20"/>
    </row>
    <row r="79" customFormat="false" ht="15" hidden="false" customHeight="false" outlineLevel="0" collapsed="false">
      <c r="A79" s="15" t="n">
        <v>4</v>
      </c>
      <c r="B79" s="16" t="n">
        <v>46133</v>
      </c>
      <c r="C79" s="6" t="s">
        <v>25</v>
      </c>
      <c r="D79" s="7" t="n">
        <v>0.385416666666667</v>
      </c>
      <c r="E79" s="7" t="n">
        <v>0.416666666666667</v>
      </c>
      <c r="F79" s="17" t="n">
        <f aca="false">IF(OR(D79="",E79=""),"",(E79-D79)*1440)</f>
        <v>45</v>
      </c>
      <c r="G79" s="21" t="s">
        <v>69</v>
      </c>
      <c r="H79" s="19" t="s">
        <v>70</v>
      </c>
      <c r="I79" s="24"/>
      <c r="J79" s="22" t="s">
        <v>195</v>
      </c>
    </row>
    <row r="80" customFormat="false" ht="15" hidden="false" customHeight="false" outlineLevel="0" collapsed="false">
      <c r="A80" s="15" t="n">
        <v>4</v>
      </c>
      <c r="B80" s="16" t="n">
        <v>46133</v>
      </c>
      <c r="C80" s="6" t="s">
        <v>25</v>
      </c>
      <c r="D80" s="7" t="n">
        <v>0.416666666666667</v>
      </c>
      <c r="E80" s="7" t="n">
        <v>0.4375</v>
      </c>
      <c r="F80" s="17" t="n">
        <f aca="false">IF(OR(D80="",E80=""),"",(E80-D80)*1440)</f>
        <v>30</v>
      </c>
      <c r="G80" s="25" t="s">
        <v>80</v>
      </c>
      <c r="H80" s="19" t="s">
        <v>196</v>
      </c>
      <c r="I80" s="19" t="s">
        <v>197</v>
      </c>
      <c r="J80" s="20"/>
    </row>
    <row r="81" customFormat="false" ht="15" hidden="false" customHeight="false" outlineLevel="0" collapsed="false">
      <c r="A81" s="15" t="n">
        <v>4</v>
      </c>
      <c r="B81" s="16" t="n">
        <v>46133</v>
      </c>
      <c r="C81" s="6" t="s">
        <v>25</v>
      </c>
      <c r="D81" s="7" t="n">
        <v>0.4375</v>
      </c>
      <c r="E81" s="7" t="n">
        <v>0.458333333333333</v>
      </c>
      <c r="F81" s="17" t="n">
        <f aca="false">IF(OR(D81="",E81=""),"",(E81-D81)*1440)</f>
        <v>30</v>
      </c>
      <c r="G81" s="25" t="s">
        <v>80</v>
      </c>
      <c r="H81" s="19" t="s">
        <v>198</v>
      </c>
      <c r="I81" s="19" t="s">
        <v>199</v>
      </c>
      <c r="J81" s="20"/>
    </row>
    <row r="82" customFormat="false" ht="15" hidden="false" customHeight="false" outlineLevel="0" collapsed="false">
      <c r="A82" s="15" t="n">
        <v>4</v>
      </c>
      <c r="B82" s="16" t="n">
        <v>46133</v>
      </c>
      <c r="C82" s="6" t="s">
        <v>25</v>
      </c>
      <c r="D82" s="7" t="n">
        <v>0.458333333333333</v>
      </c>
      <c r="E82" s="7" t="n">
        <v>0.479166666666667</v>
      </c>
      <c r="F82" s="17" t="n">
        <f aca="false">IF(OR(D82="",E82=""),"",(E82-D82)*1440)</f>
        <v>30</v>
      </c>
      <c r="G82" s="26" t="s">
        <v>104</v>
      </c>
      <c r="H82" s="19" t="s">
        <v>200</v>
      </c>
      <c r="I82" s="19" t="s">
        <v>201</v>
      </c>
      <c r="J82" s="22" t="s">
        <v>202</v>
      </c>
    </row>
    <row r="83" customFormat="false" ht="15" hidden="false" customHeight="false" outlineLevel="0" collapsed="false">
      <c r="A83" s="15" t="n">
        <v>4</v>
      </c>
      <c r="B83" s="16" t="n">
        <v>46133</v>
      </c>
      <c r="C83" s="6" t="s">
        <v>25</v>
      </c>
      <c r="D83" s="7" t="n">
        <v>0.479166666666667</v>
      </c>
      <c r="E83" s="7" t="n">
        <v>0.5</v>
      </c>
      <c r="F83" s="17" t="n">
        <f aca="false">IF(OR(D83="",E83=""),"",(E83-D83)*1440)</f>
        <v>30</v>
      </c>
      <c r="G83" s="26" t="s">
        <v>104</v>
      </c>
      <c r="H83" s="19" t="s">
        <v>203</v>
      </c>
      <c r="I83" s="19" t="s">
        <v>204</v>
      </c>
      <c r="J83" s="20"/>
    </row>
    <row r="84" customFormat="false" ht="15" hidden="false" customHeight="false" outlineLevel="0" collapsed="false">
      <c r="A84" s="15" t="n">
        <v>4</v>
      </c>
      <c r="B84" s="16" t="n">
        <v>46133</v>
      </c>
      <c r="C84" s="6" t="s">
        <v>25</v>
      </c>
      <c r="D84" s="7" t="n">
        <v>0.5</v>
      </c>
      <c r="E84" s="7" t="n">
        <v>0.503472222222222</v>
      </c>
      <c r="F84" s="17" t="n">
        <f aca="false">IF(OR(D84="",E84=""),"",(E84-D84)*1440)</f>
        <v>5</v>
      </c>
      <c r="G84" s="21" t="s">
        <v>69</v>
      </c>
      <c r="H84" s="19" t="s">
        <v>70</v>
      </c>
      <c r="I84" s="24"/>
      <c r="J84" s="22" t="s">
        <v>205</v>
      </c>
    </row>
    <row r="85" customFormat="false" ht="15" hidden="false" customHeight="false" outlineLevel="0" collapsed="false">
      <c r="A85" s="15" t="n">
        <v>4</v>
      </c>
      <c r="B85" s="16" t="n">
        <v>46133</v>
      </c>
      <c r="C85" s="6" t="s">
        <v>25</v>
      </c>
      <c r="D85" s="7" t="n">
        <v>0.503472222222222</v>
      </c>
      <c r="E85" s="7" t="n">
        <v>0.541666666666667</v>
      </c>
      <c r="F85" s="17" t="n">
        <f aca="false">IF(OR(D85="",E85=""),"",(E85-D85)*1440)</f>
        <v>55</v>
      </c>
      <c r="G85" s="25" t="s">
        <v>80</v>
      </c>
      <c r="H85" s="19" t="s">
        <v>206</v>
      </c>
      <c r="I85" s="19" t="s">
        <v>207</v>
      </c>
      <c r="J85" s="22" t="s">
        <v>208</v>
      </c>
    </row>
    <row r="86" customFormat="false" ht="15" hidden="false" customHeight="false" outlineLevel="0" collapsed="false">
      <c r="A86" s="15" t="n">
        <v>4</v>
      </c>
      <c r="B86" s="16" t="n">
        <v>46133</v>
      </c>
      <c r="C86" s="6" t="s">
        <v>25</v>
      </c>
      <c r="D86" s="7" t="n">
        <v>0.541666666666667</v>
      </c>
      <c r="E86" s="7" t="n">
        <v>0.545138888888889</v>
      </c>
      <c r="F86" s="17" t="n">
        <f aca="false">IF(OR(D86="",E86=""),"",(E86-D86)*1440)</f>
        <v>5</v>
      </c>
      <c r="G86" s="21" t="s">
        <v>69</v>
      </c>
      <c r="H86" s="19" t="s">
        <v>70</v>
      </c>
      <c r="I86" s="24"/>
      <c r="J86" s="22" t="s">
        <v>209</v>
      </c>
    </row>
    <row r="87" customFormat="false" ht="15" hidden="false" customHeight="false" outlineLevel="0" collapsed="false">
      <c r="A87" s="15" t="n">
        <v>4</v>
      </c>
      <c r="B87" s="16" t="n">
        <v>46133</v>
      </c>
      <c r="C87" s="6" t="s">
        <v>25</v>
      </c>
      <c r="D87" s="7" t="n">
        <v>0.545138888888889</v>
      </c>
      <c r="E87" s="7" t="n">
        <v>0.555555555555556</v>
      </c>
      <c r="F87" s="17" t="n">
        <f aca="false">IF(OR(D87="",E87=""),"",(E87-D87)*1440)</f>
        <v>15</v>
      </c>
      <c r="G87" s="26" t="s">
        <v>104</v>
      </c>
      <c r="H87" s="19" t="s">
        <v>210</v>
      </c>
      <c r="I87" s="19" t="s">
        <v>211</v>
      </c>
      <c r="J87" s="22" t="s">
        <v>212</v>
      </c>
    </row>
    <row r="88" customFormat="false" ht="15" hidden="false" customHeight="false" outlineLevel="0" collapsed="false">
      <c r="A88" s="15" t="n">
        <v>4</v>
      </c>
      <c r="B88" s="16" t="n">
        <v>46133</v>
      </c>
      <c r="C88" s="6" t="s">
        <v>25</v>
      </c>
      <c r="D88" s="7" t="n">
        <v>0.555555555555556</v>
      </c>
      <c r="E88" s="7" t="n">
        <v>0.559027777777778</v>
      </c>
      <c r="F88" s="17" t="n">
        <f aca="false">IF(OR(D88="",E88=""),"",(E88-D88)*1440)</f>
        <v>5</v>
      </c>
      <c r="G88" s="21" t="s">
        <v>69</v>
      </c>
      <c r="H88" s="19" t="s">
        <v>70</v>
      </c>
      <c r="I88" s="24"/>
      <c r="J88" s="22" t="s">
        <v>213</v>
      </c>
    </row>
    <row r="89" customFormat="false" ht="15" hidden="false" customHeight="false" outlineLevel="0" collapsed="false">
      <c r="A89" s="15" t="n">
        <v>4</v>
      </c>
      <c r="B89" s="16" t="n">
        <v>46133</v>
      </c>
      <c r="C89" s="6" t="s">
        <v>25</v>
      </c>
      <c r="D89" s="7" t="n">
        <v>0.559027777777778</v>
      </c>
      <c r="E89" s="7" t="n">
        <v>0.569444444444444</v>
      </c>
      <c r="F89" s="17" t="n">
        <f aca="false">IF(OR(D89="",E89=""),"",(E89-D89)*1440)</f>
        <v>15</v>
      </c>
      <c r="G89" s="26" t="s">
        <v>104</v>
      </c>
      <c r="H89" s="19" t="s">
        <v>214</v>
      </c>
      <c r="I89" s="19" t="s">
        <v>215</v>
      </c>
      <c r="J89" s="22" t="s">
        <v>216</v>
      </c>
    </row>
    <row r="90" customFormat="false" ht="15" hidden="false" customHeight="false" outlineLevel="0" collapsed="false">
      <c r="A90" s="15" t="n">
        <v>4</v>
      </c>
      <c r="B90" s="16" t="n">
        <v>46133</v>
      </c>
      <c r="C90" s="6" t="s">
        <v>25</v>
      </c>
      <c r="D90" s="7" t="n">
        <v>0.569444444444444</v>
      </c>
      <c r="E90" s="7" t="n">
        <v>0.611111111111111</v>
      </c>
      <c r="F90" s="17" t="n">
        <f aca="false">IF(OR(D90="",E90=""),"",(E90-D90)*1440)</f>
        <v>60</v>
      </c>
      <c r="G90" s="21" t="s">
        <v>69</v>
      </c>
      <c r="H90" s="19" t="s">
        <v>70</v>
      </c>
      <c r="I90" s="24"/>
      <c r="J90" s="22" t="s">
        <v>138</v>
      </c>
    </row>
    <row r="91" customFormat="false" ht="15" hidden="false" customHeight="false" outlineLevel="0" collapsed="false">
      <c r="A91" s="15" t="n">
        <v>4</v>
      </c>
      <c r="B91" s="16" t="n">
        <v>46133</v>
      </c>
      <c r="C91" s="6" t="s">
        <v>25</v>
      </c>
      <c r="D91" s="7" t="n">
        <v>0.611111111111111</v>
      </c>
      <c r="E91" s="7" t="n">
        <v>0.645833333333333</v>
      </c>
      <c r="F91" s="17" t="n">
        <f aca="false">IF(OR(D91="",E91=""),"",(E91-D91)*1440)</f>
        <v>50</v>
      </c>
      <c r="G91" s="25" t="s">
        <v>80</v>
      </c>
      <c r="H91" s="19" t="s">
        <v>217</v>
      </c>
      <c r="I91" s="19" t="s">
        <v>218</v>
      </c>
      <c r="J91" s="22" t="s">
        <v>219</v>
      </c>
    </row>
    <row r="92" customFormat="false" ht="15" hidden="false" customHeight="false" outlineLevel="0" collapsed="false">
      <c r="A92" s="15" t="n">
        <v>4</v>
      </c>
      <c r="B92" s="16" t="n">
        <v>46133</v>
      </c>
      <c r="C92" s="6" t="s">
        <v>25</v>
      </c>
      <c r="D92" s="7" t="n">
        <v>0.645833333333333</v>
      </c>
      <c r="E92" s="7" t="n">
        <v>0.697916666666667</v>
      </c>
      <c r="F92" s="17" t="n">
        <f aca="false">IF(OR(D92="",E92=""),"",(E92-D92)*1440)</f>
        <v>75</v>
      </c>
      <c r="G92" s="21" t="s">
        <v>69</v>
      </c>
      <c r="H92" s="19" t="s">
        <v>70</v>
      </c>
      <c r="I92" s="24"/>
      <c r="J92" s="22" t="s">
        <v>220</v>
      </c>
    </row>
    <row r="93" customFormat="false" ht="15" hidden="false" customHeight="false" outlineLevel="0" collapsed="false">
      <c r="A93" s="15" t="n">
        <v>4</v>
      </c>
      <c r="B93" s="16" t="n">
        <v>46133</v>
      </c>
      <c r="C93" s="6" t="s">
        <v>25</v>
      </c>
      <c r="D93" s="7" t="n">
        <v>0.697916666666667</v>
      </c>
      <c r="E93" s="7" t="n">
        <v>0.708333333333333</v>
      </c>
      <c r="F93" s="17" t="n">
        <f aca="false">IF(OR(D93="",E93=""),"",(E93-D93)*1440)</f>
        <v>15</v>
      </c>
      <c r="G93" s="25" t="s">
        <v>80</v>
      </c>
      <c r="H93" s="19" t="s">
        <v>221</v>
      </c>
      <c r="I93" s="19" t="s">
        <v>222</v>
      </c>
      <c r="J93" s="20"/>
    </row>
    <row r="94" customFormat="false" ht="15" hidden="false" customHeight="false" outlineLevel="0" collapsed="false">
      <c r="A94" s="15" t="n">
        <v>4</v>
      </c>
      <c r="B94" s="16" t="n">
        <v>46133</v>
      </c>
      <c r="C94" s="6" t="s">
        <v>25</v>
      </c>
      <c r="D94" s="7" t="n">
        <v>0.708333333333333</v>
      </c>
      <c r="E94" s="7" t="n">
        <v>0.711805555555556</v>
      </c>
      <c r="F94" s="17" t="n">
        <f aca="false">IF(OR(D94="",E94=""),"",(E94-D94)*1440)</f>
        <v>5</v>
      </c>
      <c r="G94" s="21" t="s">
        <v>69</v>
      </c>
      <c r="H94" s="19" t="s">
        <v>70</v>
      </c>
      <c r="I94" s="24"/>
      <c r="J94" s="20"/>
    </row>
    <row r="95" customFormat="false" ht="15" hidden="false" customHeight="false" outlineLevel="0" collapsed="false">
      <c r="A95" s="15" t="n">
        <v>4</v>
      </c>
      <c r="B95" s="16" t="n">
        <v>46133</v>
      </c>
      <c r="C95" s="6" t="s">
        <v>25</v>
      </c>
      <c r="D95" s="7" t="n">
        <v>0.711805555555556</v>
      </c>
      <c r="E95" s="7" t="n">
        <v>0.71875</v>
      </c>
      <c r="F95" s="17" t="n">
        <f aca="false">IF(OR(D95="",E95=""),"",(E95-D95)*1440)</f>
        <v>10</v>
      </c>
      <c r="G95" s="18" t="s">
        <v>66</v>
      </c>
      <c r="H95" s="24" t="s">
        <v>102</v>
      </c>
      <c r="I95" s="24" t="s">
        <v>27</v>
      </c>
      <c r="J95" s="22" t="s">
        <v>223</v>
      </c>
    </row>
    <row r="96" customFormat="false" ht="15" hidden="false" customHeight="false" outlineLevel="0" collapsed="false">
      <c r="A96" s="15" t="n">
        <v>4</v>
      </c>
      <c r="B96" s="16" t="n">
        <v>46133</v>
      </c>
      <c r="C96" s="6" t="s">
        <v>25</v>
      </c>
      <c r="D96" s="7" t="n">
        <v>0.71875</v>
      </c>
      <c r="E96" s="7" t="n">
        <v>0.791666666666667</v>
      </c>
      <c r="F96" s="17" t="n">
        <f aca="false">IF(OR(D96="",E96=""),"",(E96-D96)*1440)</f>
        <v>105</v>
      </c>
      <c r="G96" s="26" t="s">
        <v>104</v>
      </c>
      <c r="H96" s="19" t="s">
        <v>224</v>
      </c>
      <c r="I96" s="19" t="s">
        <v>225</v>
      </c>
      <c r="J96" s="20"/>
    </row>
    <row r="97" customFormat="false" ht="15" hidden="false" customHeight="false" outlineLevel="0" collapsed="false">
      <c r="A97" s="15" t="n">
        <v>4</v>
      </c>
      <c r="B97" s="16" t="n">
        <v>46133</v>
      </c>
      <c r="C97" s="6" t="s">
        <v>25</v>
      </c>
      <c r="D97" s="15"/>
      <c r="E97" s="15"/>
      <c r="F97" s="17" t="str">
        <f aca="false">IF(OR(D97="",E97=""),"",(E97-D97)*1440)</f>
        <v/>
      </c>
      <c r="G97" s="18" t="s">
        <v>66</v>
      </c>
      <c r="H97" s="19" t="s">
        <v>111</v>
      </c>
      <c r="I97" s="24" t="s">
        <v>27</v>
      </c>
      <c r="J97" s="22" t="s">
        <v>226</v>
      </c>
    </row>
    <row r="98" customFormat="false" ht="15" hidden="false" customHeight="false" outlineLevel="0" collapsed="false">
      <c r="A98" s="15" t="n">
        <v>5</v>
      </c>
      <c r="B98" s="16" t="n">
        <v>46134</v>
      </c>
      <c r="C98" s="6" t="s">
        <v>30</v>
      </c>
      <c r="D98" s="15"/>
      <c r="E98" s="15"/>
      <c r="F98" s="17" t="str">
        <f aca="false">IF(OR(D98="",E98=""),"",(E98-D98)*1440)</f>
        <v/>
      </c>
      <c r="G98" s="18" t="s">
        <v>66</v>
      </c>
      <c r="H98" s="19" t="s">
        <v>67</v>
      </c>
      <c r="I98" s="24" t="s">
        <v>27</v>
      </c>
      <c r="J98" s="20"/>
    </row>
    <row r="99" customFormat="false" ht="15" hidden="false" customHeight="false" outlineLevel="0" collapsed="false">
      <c r="A99" s="15" t="n">
        <v>5</v>
      </c>
      <c r="B99" s="16" t="n">
        <v>46134</v>
      </c>
      <c r="C99" s="6" t="s">
        <v>30</v>
      </c>
      <c r="D99" s="15"/>
      <c r="E99" s="15"/>
      <c r="F99" s="17" t="str">
        <f aca="false">IF(OR(D99="",E99=""),"",(E99-D99)*1440)</f>
        <v/>
      </c>
      <c r="G99" s="26" t="s">
        <v>104</v>
      </c>
      <c r="H99" s="19" t="s">
        <v>227</v>
      </c>
      <c r="I99" s="24" t="s">
        <v>27</v>
      </c>
      <c r="J99" s="20"/>
    </row>
    <row r="100" customFormat="false" ht="15" hidden="false" customHeight="false" outlineLevel="0" collapsed="false">
      <c r="A100" s="15" t="n">
        <v>5</v>
      </c>
      <c r="B100" s="16" t="n">
        <v>46134</v>
      </c>
      <c r="C100" s="6" t="s">
        <v>30</v>
      </c>
      <c r="D100" s="7" t="n">
        <v>0.354166666666667</v>
      </c>
      <c r="E100" s="7" t="n">
        <v>0.371527777777778</v>
      </c>
      <c r="F100" s="17" t="n">
        <f aca="false">IF(OR(D100="",E100=""),"",(E100-D100)*1440)</f>
        <v>25</v>
      </c>
      <c r="G100" s="21" t="s">
        <v>69</v>
      </c>
      <c r="H100" s="19" t="s">
        <v>70</v>
      </c>
      <c r="I100" s="24"/>
      <c r="J100" s="20"/>
    </row>
    <row r="101" customFormat="false" ht="15" hidden="false" customHeight="false" outlineLevel="0" collapsed="false">
      <c r="A101" s="15" t="n">
        <v>5</v>
      </c>
      <c r="B101" s="16" t="n">
        <v>46134</v>
      </c>
      <c r="C101" s="6" t="s">
        <v>30</v>
      </c>
      <c r="D101" s="7" t="n">
        <v>0.371527777777778</v>
      </c>
      <c r="E101" s="7" t="n">
        <v>0.381944444444444</v>
      </c>
      <c r="F101" s="17" t="n">
        <f aca="false">IF(OR(D101="",E101=""),"",(E101-D101)*1440)</f>
        <v>15</v>
      </c>
      <c r="G101" s="25" t="s">
        <v>80</v>
      </c>
      <c r="H101" s="19" t="s">
        <v>228</v>
      </c>
      <c r="I101" s="19" t="s">
        <v>229</v>
      </c>
      <c r="J101" s="20"/>
    </row>
    <row r="102" customFormat="false" ht="15" hidden="false" customHeight="false" outlineLevel="0" collapsed="false">
      <c r="A102" s="15" t="n">
        <v>5</v>
      </c>
      <c r="B102" s="16" t="n">
        <v>46134</v>
      </c>
      <c r="C102" s="6" t="s">
        <v>30</v>
      </c>
      <c r="D102" s="7" t="n">
        <v>0.381944444444444</v>
      </c>
      <c r="E102" s="7" t="n">
        <v>0.385416666666667</v>
      </c>
      <c r="F102" s="17" t="n">
        <f aca="false">IF(OR(D102="",E102=""),"",(E102-D102)*1440)</f>
        <v>5</v>
      </c>
      <c r="G102" s="21" t="s">
        <v>69</v>
      </c>
      <c r="H102" s="19" t="s">
        <v>70</v>
      </c>
      <c r="I102" s="24"/>
      <c r="J102" s="20"/>
    </row>
    <row r="103" customFormat="false" ht="15" hidden="false" customHeight="false" outlineLevel="0" collapsed="false">
      <c r="A103" s="15" t="n">
        <v>5</v>
      </c>
      <c r="B103" s="16" t="n">
        <v>46134</v>
      </c>
      <c r="C103" s="6" t="s">
        <v>30</v>
      </c>
      <c r="D103" s="7" t="n">
        <v>0.385416666666667</v>
      </c>
      <c r="E103" s="7" t="n">
        <v>0.392361111111111</v>
      </c>
      <c r="F103" s="17" t="n">
        <f aca="false">IF(OR(D103="",E103=""),"",(E103-D103)*1440)</f>
        <v>10</v>
      </c>
      <c r="G103" s="25" t="s">
        <v>80</v>
      </c>
      <c r="H103" s="19" t="s">
        <v>230</v>
      </c>
      <c r="I103" s="19" t="s">
        <v>231</v>
      </c>
      <c r="J103" s="22" t="s">
        <v>232</v>
      </c>
    </row>
    <row r="104" customFormat="false" ht="15" hidden="false" customHeight="false" outlineLevel="0" collapsed="false">
      <c r="A104" s="15" t="n">
        <v>5</v>
      </c>
      <c r="B104" s="16" t="n">
        <v>46134</v>
      </c>
      <c r="C104" s="6" t="s">
        <v>30</v>
      </c>
      <c r="D104" s="7" t="n">
        <v>0.392361111111111</v>
      </c>
      <c r="E104" s="7" t="n">
        <v>0.395833333333333</v>
      </c>
      <c r="F104" s="17" t="n">
        <f aca="false">IF(OR(D104="",E104=""),"",(E104-D104)*1440)</f>
        <v>5</v>
      </c>
      <c r="G104" s="21" t="s">
        <v>69</v>
      </c>
      <c r="H104" s="19" t="s">
        <v>70</v>
      </c>
      <c r="I104" s="24"/>
      <c r="J104" s="22" t="s">
        <v>233</v>
      </c>
    </row>
    <row r="105" customFormat="false" ht="15" hidden="false" customHeight="false" outlineLevel="0" collapsed="false">
      <c r="A105" s="15" t="n">
        <v>5</v>
      </c>
      <c r="B105" s="16" t="n">
        <v>46134</v>
      </c>
      <c r="C105" s="6" t="s">
        <v>30</v>
      </c>
      <c r="D105" s="7" t="n">
        <v>0.395833333333333</v>
      </c>
      <c r="E105" s="7" t="n">
        <v>0.416666666666667</v>
      </c>
      <c r="F105" s="17" t="n">
        <f aca="false">IF(OR(D105="",E105=""),"",(E105-D105)*1440)</f>
        <v>30</v>
      </c>
      <c r="G105" s="25" t="s">
        <v>80</v>
      </c>
      <c r="H105" s="19" t="s">
        <v>234</v>
      </c>
      <c r="I105" s="19" t="s">
        <v>235</v>
      </c>
      <c r="J105" s="22" t="s">
        <v>236</v>
      </c>
    </row>
    <row r="106" customFormat="false" ht="15" hidden="false" customHeight="false" outlineLevel="0" collapsed="false">
      <c r="A106" s="15" t="n">
        <v>5</v>
      </c>
      <c r="B106" s="16" t="n">
        <v>46134</v>
      </c>
      <c r="C106" s="6" t="s">
        <v>30</v>
      </c>
      <c r="D106" s="7" t="n">
        <v>0.416666666666667</v>
      </c>
      <c r="E106" s="7" t="n">
        <v>0.427083333333333</v>
      </c>
      <c r="F106" s="17" t="n">
        <f aca="false">IF(OR(D106="",E106=""),"",(E106-D106)*1440)</f>
        <v>15</v>
      </c>
      <c r="G106" s="25" t="s">
        <v>80</v>
      </c>
      <c r="H106" s="19" t="s">
        <v>237</v>
      </c>
      <c r="I106" s="19" t="s">
        <v>238</v>
      </c>
      <c r="J106" s="20"/>
    </row>
    <row r="107" customFormat="false" ht="15" hidden="false" customHeight="false" outlineLevel="0" collapsed="false">
      <c r="A107" s="15" t="n">
        <v>5</v>
      </c>
      <c r="B107" s="16" t="n">
        <v>46134</v>
      </c>
      <c r="C107" s="6" t="s">
        <v>30</v>
      </c>
      <c r="D107" s="7" t="n">
        <v>0.427083333333333</v>
      </c>
      <c r="E107" s="7" t="n">
        <v>0.447916666666667</v>
      </c>
      <c r="F107" s="17" t="n">
        <f aca="false">IF(OR(D107="",E107=""),"",(E107-D107)*1440)</f>
        <v>30</v>
      </c>
      <c r="G107" s="25" t="s">
        <v>80</v>
      </c>
      <c r="H107" s="19" t="s">
        <v>239</v>
      </c>
      <c r="I107" s="19" t="s">
        <v>240</v>
      </c>
      <c r="J107" s="22" t="s">
        <v>241</v>
      </c>
    </row>
    <row r="108" customFormat="false" ht="15" hidden="false" customHeight="false" outlineLevel="0" collapsed="false">
      <c r="A108" s="15" t="n">
        <v>5</v>
      </c>
      <c r="B108" s="16" t="n">
        <v>46134</v>
      </c>
      <c r="C108" s="6" t="s">
        <v>30</v>
      </c>
      <c r="D108" s="7" t="n">
        <v>0.447916666666667</v>
      </c>
      <c r="E108" s="7" t="n">
        <v>0.458333333333333</v>
      </c>
      <c r="F108" s="17" t="n">
        <f aca="false">IF(OR(D108="",E108=""),"",(E108-D108)*1440)</f>
        <v>15</v>
      </c>
      <c r="G108" s="25" t="s">
        <v>80</v>
      </c>
      <c r="H108" s="19" t="s">
        <v>242</v>
      </c>
      <c r="I108" s="19" t="s">
        <v>243</v>
      </c>
      <c r="J108" s="20"/>
    </row>
    <row r="109" customFormat="false" ht="15" hidden="false" customHeight="false" outlineLevel="0" collapsed="false">
      <c r="A109" s="15" t="n">
        <v>5</v>
      </c>
      <c r="B109" s="16" t="n">
        <v>46134</v>
      </c>
      <c r="C109" s="6" t="s">
        <v>30</v>
      </c>
      <c r="D109" s="7" t="n">
        <v>0.458333333333333</v>
      </c>
      <c r="E109" s="7" t="n">
        <v>0.496527777777778</v>
      </c>
      <c r="F109" s="17" t="n">
        <f aca="false">IF(OR(D109="",E109=""),"",(E109-D109)*1440)</f>
        <v>55</v>
      </c>
      <c r="G109" s="26" t="s">
        <v>104</v>
      </c>
      <c r="H109" s="19" t="s">
        <v>244</v>
      </c>
      <c r="I109" s="19" t="s">
        <v>245</v>
      </c>
      <c r="J109" s="20"/>
    </row>
    <row r="110" customFormat="false" ht="15" hidden="false" customHeight="false" outlineLevel="0" collapsed="false">
      <c r="A110" s="15" t="n">
        <v>5</v>
      </c>
      <c r="B110" s="16" t="n">
        <v>46134</v>
      </c>
      <c r="C110" s="6" t="s">
        <v>30</v>
      </c>
      <c r="D110" s="7" t="n">
        <v>0.496527777777778</v>
      </c>
      <c r="E110" s="7" t="n">
        <v>0.506944444444444</v>
      </c>
      <c r="F110" s="17" t="n">
        <f aca="false">IF(OR(D110="",E110=""),"",(E110-D110)*1440)</f>
        <v>15</v>
      </c>
      <c r="G110" s="21" t="s">
        <v>69</v>
      </c>
      <c r="H110" s="19" t="s">
        <v>169</v>
      </c>
      <c r="I110" s="24"/>
      <c r="J110" s="20"/>
    </row>
    <row r="111" customFormat="false" ht="15" hidden="false" customHeight="false" outlineLevel="0" collapsed="false">
      <c r="A111" s="15" t="n">
        <v>5</v>
      </c>
      <c r="B111" s="16" t="n">
        <v>46134</v>
      </c>
      <c r="C111" s="6" t="s">
        <v>30</v>
      </c>
      <c r="D111" s="7" t="n">
        <v>0.506944444444444</v>
      </c>
      <c r="E111" s="7" t="n">
        <v>0.510416666666667</v>
      </c>
      <c r="F111" s="17" t="n">
        <f aca="false">IF(OR(D111="",E111=""),"",(E111-D111)*1440)</f>
        <v>5</v>
      </c>
      <c r="G111" s="21" t="s">
        <v>69</v>
      </c>
      <c r="H111" s="19" t="s">
        <v>70</v>
      </c>
      <c r="I111" s="24"/>
      <c r="J111" s="22" t="s">
        <v>246</v>
      </c>
    </row>
    <row r="112" customFormat="false" ht="15" hidden="false" customHeight="false" outlineLevel="0" collapsed="false">
      <c r="A112" s="15" t="n">
        <v>5</v>
      </c>
      <c r="B112" s="16" t="n">
        <v>46134</v>
      </c>
      <c r="C112" s="6" t="s">
        <v>30</v>
      </c>
      <c r="D112" s="7" t="n">
        <v>0.513888888888889</v>
      </c>
      <c r="E112" s="7" t="n">
        <v>0.548611111111111</v>
      </c>
      <c r="F112" s="17" t="n">
        <f aca="false">IF(OR(D112="",E112=""),"",(E112-D112)*1440)</f>
        <v>50</v>
      </c>
      <c r="G112" s="25" t="s">
        <v>80</v>
      </c>
      <c r="H112" s="19" t="s">
        <v>247</v>
      </c>
      <c r="I112" s="19" t="s">
        <v>248</v>
      </c>
      <c r="J112" s="22" t="s">
        <v>249</v>
      </c>
    </row>
    <row r="113" customFormat="false" ht="15" hidden="false" customHeight="false" outlineLevel="0" collapsed="false">
      <c r="A113" s="15" t="n">
        <v>5</v>
      </c>
      <c r="B113" s="16" t="n">
        <v>46134</v>
      </c>
      <c r="C113" s="6" t="s">
        <v>30</v>
      </c>
      <c r="D113" s="7" t="n">
        <v>0.548611111111111</v>
      </c>
      <c r="E113" s="7" t="n">
        <v>0.569444444444444</v>
      </c>
      <c r="F113" s="17" t="n">
        <f aca="false">IF(OR(D113="",E113=""),"",(E113-D113)*1440)</f>
        <v>30</v>
      </c>
      <c r="G113" s="21" t="s">
        <v>69</v>
      </c>
      <c r="H113" s="19" t="s">
        <v>169</v>
      </c>
      <c r="I113" s="19" t="s">
        <v>250</v>
      </c>
      <c r="J113" s="22" t="s">
        <v>251</v>
      </c>
    </row>
    <row r="114" customFormat="false" ht="15" hidden="false" customHeight="false" outlineLevel="0" collapsed="false">
      <c r="A114" s="15" t="n">
        <v>5</v>
      </c>
      <c r="B114" s="16" t="n">
        <v>46134</v>
      </c>
      <c r="C114" s="6" t="s">
        <v>30</v>
      </c>
      <c r="D114" s="7" t="n">
        <v>0.569444444444444</v>
      </c>
      <c r="E114" s="7" t="n">
        <v>0.611111111111111</v>
      </c>
      <c r="F114" s="17" t="n">
        <f aca="false">IF(OR(D114="",E114=""),"",(E114-D114)*1440)</f>
        <v>60</v>
      </c>
      <c r="G114" s="25" t="s">
        <v>80</v>
      </c>
      <c r="H114" s="19" t="s">
        <v>252</v>
      </c>
      <c r="I114" s="19" t="s">
        <v>253</v>
      </c>
      <c r="J114" s="22" t="s">
        <v>254</v>
      </c>
    </row>
    <row r="115" customFormat="false" ht="15" hidden="false" customHeight="false" outlineLevel="0" collapsed="false">
      <c r="A115" s="15" t="n">
        <v>5</v>
      </c>
      <c r="B115" s="16" t="n">
        <v>46134</v>
      </c>
      <c r="C115" s="6" t="s">
        <v>30</v>
      </c>
      <c r="D115" s="7" t="n">
        <v>0.611111111111111</v>
      </c>
      <c r="E115" s="7" t="n">
        <v>0.621527777777778</v>
      </c>
      <c r="F115" s="17" t="n">
        <f aca="false">IF(OR(D115="",E115=""),"",(E115-D115)*1440)</f>
        <v>15</v>
      </c>
      <c r="G115" s="21" t="s">
        <v>69</v>
      </c>
      <c r="H115" s="19" t="s">
        <v>70</v>
      </c>
      <c r="I115" s="24"/>
      <c r="J115" s="22" t="s">
        <v>255</v>
      </c>
    </row>
    <row r="116" customFormat="false" ht="15" hidden="false" customHeight="false" outlineLevel="0" collapsed="false">
      <c r="A116" s="15" t="n">
        <v>5</v>
      </c>
      <c r="B116" s="16" t="n">
        <v>46134</v>
      </c>
      <c r="C116" s="6" t="s">
        <v>30</v>
      </c>
      <c r="D116" s="7" t="n">
        <v>0.621527777777778</v>
      </c>
      <c r="E116" s="7" t="n">
        <v>0.631944444444444</v>
      </c>
      <c r="F116" s="17" t="n">
        <f aca="false">IF(OR(D116="",E116=""),"",(E116-D116)*1440)</f>
        <v>15</v>
      </c>
      <c r="G116" s="25" t="s">
        <v>80</v>
      </c>
      <c r="H116" s="19" t="s">
        <v>256</v>
      </c>
      <c r="I116" s="19" t="s">
        <v>257</v>
      </c>
      <c r="J116" s="20"/>
    </row>
    <row r="117" customFormat="false" ht="15" hidden="false" customHeight="false" outlineLevel="0" collapsed="false">
      <c r="A117" s="15" t="n">
        <v>5</v>
      </c>
      <c r="B117" s="16" t="n">
        <v>46134</v>
      </c>
      <c r="C117" s="6" t="s">
        <v>30</v>
      </c>
      <c r="D117" s="7" t="n">
        <v>0.631944444444444</v>
      </c>
      <c r="E117" s="7" t="n">
        <v>0.635416666666667</v>
      </c>
      <c r="F117" s="17" t="n">
        <f aca="false">IF(OR(D117="",E117=""),"",(E117-D117)*1440)</f>
        <v>5</v>
      </c>
      <c r="G117" s="21" t="s">
        <v>69</v>
      </c>
      <c r="H117" s="19" t="s">
        <v>70</v>
      </c>
      <c r="I117" s="24"/>
      <c r="J117" s="22" t="s">
        <v>255</v>
      </c>
    </row>
    <row r="118" customFormat="false" ht="15" hidden="false" customHeight="false" outlineLevel="0" collapsed="false">
      <c r="A118" s="15" t="n">
        <v>5</v>
      </c>
      <c r="B118" s="16" t="n">
        <v>46134</v>
      </c>
      <c r="C118" s="6" t="s">
        <v>30</v>
      </c>
      <c r="D118" s="7" t="n">
        <v>0.635416666666667</v>
      </c>
      <c r="E118" s="7" t="n">
        <v>0.6875</v>
      </c>
      <c r="F118" s="17" t="n">
        <f aca="false">IF(OR(D118="",E118=""),"",(E118-D118)*1440)</f>
        <v>75</v>
      </c>
      <c r="G118" s="25" t="s">
        <v>80</v>
      </c>
      <c r="H118" s="19" t="s">
        <v>258</v>
      </c>
      <c r="I118" s="19" t="s">
        <v>259</v>
      </c>
      <c r="J118" s="22" t="s">
        <v>260</v>
      </c>
    </row>
    <row r="119" customFormat="false" ht="15" hidden="false" customHeight="false" outlineLevel="0" collapsed="false">
      <c r="A119" s="15" t="n">
        <v>5</v>
      </c>
      <c r="B119" s="16" t="n">
        <v>46134</v>
      </c>
      <c r="C119" s="6" t="s">
        <v>30</v>
      </c>
      <c r="D119" s="7" t="n">
        <v>0.6875</v>
      </c>
      <c r="E119" s="7" t="n">
        <v>0.701388888888889</v>
      </c>
      <c r="F119" s="17" t="n">
        <f aca="false">IF(OR(D119="",E119=""),"",(E119-D119)*1440)</f>
        <v>20</v>
      </c>
      <c r="G119" s="21" t="s">
        <v>69</v>
      </c>
      <c r="H119" s="19" t="s">
        <v>70</v>
      </c>
      <c r="I119" s="24"/>
      <c r="J119" s="22" t="s">
        <v>261</v>
      </c>
    </row>
    <row r="120" customFormat="false" ht="15" hidden="false" customHeight="false" outlineLevel="0" collapsed="false">
      <c r="A120" s="15" t="n">
        <v>5</v>
      </c>
      <c r="B120" s="16" t="n">
        <v>46134</v>
      </c>
      <c r="C120" s="6" t="s">
        <v>30</v>
      </c>
      <c r="D120" s="7" t="n">
        <v>0.701388888888889</v>
      </c>
      <c r="E120" s="7" t="n">
        <v>0.711805555555556</v>
      </c>
      <c r="F120" s="17" t="n">
        <f aca="false">IF(OR(D120="",E120=""),"",(E120-D120)*1440)</f>
        <v>15</v>
      </c>
      <c r="G120" s="25" t="s">
        <v>80</v>
      </c>
      <c r="H120" s="19" t="s">
        <v>135</v>
      </c>
      <c r="I120" s="19" t="s">
        <v>262</v>
      </c>
      <c r="J120" s="20"/>
    </row>
    <row r="121" customFormat="false" ht="15" hidden="false" customHeight="false" outlineLevel="0" collapsed="false">
      <c r="A121" s="15" t="n">
        <v>5</v>
      </c>
      <c r="B121" s="16" t="n">
        <v>46134</v>
      </c>
      <c r="C121" s="6" t="s">
        <v>30</v>
      </c>
      <c r="D121" s="7" t="n">
        <v>0.711805555555556</v>
      </c>
      <c r="E121" s="7" t="n">
        <v>0.71875</v>
      </c>
      <c r="F121" s="17" t="n">
        <f aca="false">IF(OR(D121="",E121=""),"",(E121-D121)*1440)</f>
        <v>10</v>
      </c>
      <c r="G121" s="21" t="s">
        <v>69</v>
      </c>
      <c r="H121" s="19" t="s">
        <v>70</v>
      </c>
      <c r="I121" s="24"/>
      <c r="J121" s="22" t="s">
        <v>263</v>
      </c>
    </row>
    <row r="122" customFormat="false" ht="15" hidden="false" customHeight="false" outlineLevel="0" collapsed="false">
      <c r="A122" s="15" t="n">
        <v>5</v>
      </c>
      <c r="B122" s="16" t="n">
        <v>46134</v>
      </c>
      <c r="C122" s="6" t="s">
        <v>30</v>
      </c>
      <c r="D122" s="7" t="n">
        <v>0.71875</v>
      </c>
      <c r="E122" s="7" t="n">
        <v>0.729166666666667</v>
      </c>
      <c r="F122" s="17" t="n">
        <f aca="false">IF(OR(D122="",E122=""),"",(E122-D122)*1440)</f>
        <v>15</v>
      </c>
      <c r="G122" s="18" t="s">
        <v>66</v>
      </c>
      <c r="H122" s="24" t="s">
        <v>102</v>
      </c>
      <c r="I122" s="19" t="s">
        <v>32</v>
      </c>
      <c r="J122" s="20"/>
    </row>
    <row r="123" customFormat="false" ht="15" hidden="false" customHeight="false" outlineLevel="0" collapsed="false">
      <c r="A123" s="15" t="n">
        <v>5</v>
      </c>
      <c r="B123" s="16" t="n">
        <v>46134</v>
      </c>
      <c r="C123" s="6" t="s">
        <v>30</v>
      </c>
      <c r="D123" s="7" t="n">
        <v>0.729166666666667</v>
      </c>
      <c r="E123" s="7" t="n">
        <v>0.732638888888889</v>
      </c>
      <c r="F123" s="17" t="n">
        <f aca="false">IF(OR(D123="",E123=""),"",(E123-D123)*1440)</f>
        <v>5</v>
      </c>
      <c r="G123" s="21" t="s">
        <v>69</v>
      </c>
      <c r="H123" s="19" t="s">
        <v>264</v>
      </c>
      <c r="I123" s="24"/>
      <c r="J123" s="20"/>
    </row>
    <row r="124" customFormat="false" ht="15" hidden="false" customHeight="false" outlineLevel="0" collapsed="false">
      <c r="A124" s="15" t="n">
        <v>5</v>
      </c>
      <c r="B124" s="16" t="n">
        <v>46134</v>
      </c>
      <c r="C124" s="6" t="s">
        <v>30</v>
      </c>
      <c r="D124" s="7" t="n">
        <v>0.732638888888889</v>
      </c>
      <c r="E124" s="7" t="n">
        <v>0.774305555555556</v>
      </c>
      <c r="F124" s="17" t="n">
        <f aca="false">IF(OR(D124="",E124=""),"",(E124-D124)*1440)</f>
        <v>60</v>
      </c>
      <c r="G124" s="26" t="s">
        <v>104</v>
      </c>
      <c r="H124" s="19" t="s">
        <v>224</v>
      </c>
      <c r="I124" s="24" t="s">
        <v>265</v>
      </c>
      <c r="J124" s="20"/>
    </row>
    <row r="125" customFormat="false" ht="15" hidden="false" customHeight="false" outlineLevel="0" collapsed="false">
      <c r="A125" s="15" t="n">
        <v>5</v>
      </c>
      <c r="B125" s="16" t="n">
        <v>46134</v>
      </c>
      <c r="C125" s="6" t="s">
        <v>30</v>
      </c>
      <c r="D125" s="7" t="n">
        <v>0.774305555555556</v>
      </c>
      <c r="E125" s="7" t="n">
        <v>0.777777777777778</v>
      </c>
      <c r="F125" s="17" t="n">
        <f aca="false">IF(OR(D125="",E125=""),"",(E125-D125)*1440)</f>
        <v>5</v>
      </c>
      <c r="G125" s="21" t="s">
        <v>69</v>
      </c>
      <c r="H125" s="19" t="s">
        <v>266</v>
      </c>
      <c r="I125" s="24"/>
      <c r="J125" s="20"/>
    </row>
    <row r="126" customFormat="false" ht="15" hidden="false" customHeight="false" outlineLevel="0" collapsed="false">
      <c r="A126" s="15" t="n">
        <v>5</v>
      </c>
      <c r="B126" s="16" t="n">
        <v>46134</v>
      </c>
      <c r="C126" s="6" t="s">
        <v>30</v>
      </c>
      <c r="D126" s="7" t="n">
        <v>0.777777777777778</v>
      </c>
      <c r="E126" s="7" t="n">
        <v>0.788194444444444</v>
      </c>
      <c r="F126" s="17" t="n">
        <f aca="false">IF(OR(D126="",E126=""),"",(E126-D126)*1440)</f>
        <v>15</v>
      </c>
      <c r="G126" s="21" t="s">
        <v>69</v>
      </c>
      <c r="H126" s="19" t="s">
        <v>70</v>
      </c>
      <c r="I126" s="24"/>
      <c r="J126" s="22" t="s">
        <v>267</v>
      </c>
    </row>
    <row r="127" customFormat="false" ht="15" hidden="false" customHeight="false" outlineLevel="0" collapsed="false">
      <c r="A127" s="15" t="n">
        <v>5</v>
      </c>
      <c r="B127" s="16" t="n">
        <v>46134</v>
      </c>
      <c r="C127" s="6" t="s">
        <v>30</v>
      </c>
      <c r="D127" s="7" t="n">
        <v>0.788194444444444</v>
      </c>
      <c r="E127" s="7" t="n">
        <v>0.802083333333333</v>
      </c>
      <c r="F127" s="17" t="n">
        <f aca="false">IF(OR(D127="",E127=""),"",(E127-D127)*1440)</f>
        <v>20</v>
      </c>
      <c r="G127" s="25" t="s">
        <v>80</v>
      </c>
      <c r="H127" s="19" t="s">
        <v>268</v>
      </c>
      <c r="I127" s="19" t="s">
        <v>269</v>
      </c>
      <c r="J127" s="22" t="s">
        <v>270</v>
      </c>
    </row>
    <row r="128" customFormat="false" ht="15" hidden="false" customHeight="false" outlineLevel="0" collapsed="false">
      <c r="A128" s="15" t="n">
        <v>5</v>
      </c>
      <c r="B128" s="16" t="n">
        <v>46134</v>
      </c>
      <c r="C128" s="6" t="s">
        <v>30</v>
      </c>
      <c r="D128" s="7" t="n">
        <v>0.802083333333333</v>
      </c>
      <c r="E128" s="7" t="n">
        <v>0.8125</v>
      </c>
      <c r="F128" s="17" t="n">
        <f aca="false">IF(OR(D128="",E128=""),"",(E128-D128)*1440)</f>
        <v>15</v>
      </c>
      <c r="G128" s="21" t="s">
        <v>69</v>
      </c>
      <c r="H128" s="19" t="s">
        <v>70</v>
      </c>
      <c r="I128" s="24"/>
      <c r="J128" s="22" t="s">
        <v>263</v>
      </c>
    </row>
    <row r="129" customFormat="false" ht="15" hidden="false" customHeight="false" outlineLevel="0" collapsed="false">
      <c r="A129" s="15" t="n">
        <v>5</v>
      </c>
      <c r="B129" s="16" t="n">
        <v>46134</v>
      </c>
      <c r="C129" s="6" t="s">
        <v>30</v>
      </c>
      <c r="D129" s="15"/>
      <c r="E129" s="15"/>
      <c r="F129" s="17" t="str">
        <f aca="false">IF(OR(D129="",E129=""),"",(E129-D129)*1440)</f>
        <v/>
      </c>
      <c r="G129" s="18" t="s">
        <v>66</v>
      </c>
      <c r="H129" s="19" t="s">
        <v>271</v>
      </c>
      <c r="I129" s="19" t="s">
        <v>32</v>
      </c>
      <c r="J129" s="22" t="s">
        <v>272</v>
      </c>
    </row>
    <row r="130" customFormat="false" ht="15" hidden="false" customHeight="false" outlineLevel="0" collapsed="false">
      <c r="A130" s="15" t="n">
        <v>6</v>
      </c>
      <c r="B130" s="16" t="n">
        <v>46135</v>
      </c>
      <c r="C130" s="6" t="s">
        <v>35</v>
      </c>
      <c r="D130" s="15"/>
      <c r="E130" s="15"/>
      <c r="F130" s="17" t="str">
        <f aca="false">IF(OR(D130="",E130=""),"",(E130-D130)*1440)</f>
        <v/>
      </c>
      <c r="G130" s="18" t="s">
        <v>66</v>
      </c>
      <c r="H130" s="19" t="s">
        <v>67</v>
      </c>
      <c r="I130" s="19" t="s">
        <v>32</v>
      </c>
      <c r="J130" s="20"/>
    </row>
    <row r="131" customFormat="false" ht="15" hidden="false" customHeight="false" outlineLevel="0" collapsed="false">
      <c r="A131" s="15" t="n">
        <v>6</v>
      </c>
      <c r="B131" s="16" t="n">
        <v>46135</v>
      </c>
      <c r="C131" s="6" t="s">
        <v>35</v>
      </c>
      <c r="D131" s="15"/>
      <c r="E131" s="15"/>
      <c r="F131" s="17" t="str">
        <f aca="false">IF(OR(D131="",E131=""),"",(E131-D131)*1440)</f>
        <v/>
      </c>
      <c r="G131" s="26" t="s">
        <v>104</v>
      </c>
      <c r="H131" s="19" t="s">
        <v>273</v>
      </c>
      <c r="I131" s="19" t="s">
        <v>32</v>
      </c>
      <c r="J131" s="20"/>
    </row>
    <row r="132" customFormat="false" ht="15" hidden="false" customHeight="false" outlineLevel="0" collapsed="false">
      <c r="A132" s="15" t="n">
        <v>6</v>
      </c>
      <c r="B132" s="16" t="n">
        <v>46135</v>
      </c>
      <c r="C132" s="6" t="s">
        <v>35</v>
      </c>
      <c r="D132" s="7" t="n">
        <v>0.3125</v>
      </c>
      <c r="E132" s="7" t="n">
        <v>0.333333333333333</v>
      </c>
      <c r="F132" s="17" t="n">
        <f aca="false">IF(OR(D132="",E132=""),"",(E132-D132)*1440)</f>
        <v>30</v>
      </c>
      <c r="G132" s="21" t="s">
        <v>69</v>
      </c>
      <c r="H132" s="19" t="s">
        <v>70</v>
      </c>
      <c r="I132" s="24"/>
      <c r="J132" s="22" t="s">
        <v>274</v>
      </c>
    </row>
    <row r="133" customFormat="false" ht="15" hidden="false" customHeight="false" outlineLevel="0" collapsed="false">
      <c r="A133" s="15" t="n">
        <v>6</v>
      </c>
      <c r="B133" s="16" t="n">
        <v>46135</v>
      </c>
      <c r="C133" s="6" t="s">
        <v>35</v>
      </c>
      <c r="D133" s="7" t="n">
        <v>0.333333333333333</v>
      </c>
      <c r="E133" s="7" t="n">
        <v>0.354166666666667</v>
      </c>
      <c r="F133" s="17" t="n">
        <f aca="false">IF(OR(D133="",E133=""),"",(E133-D133)*1440)</f>
        <v>30</v>
      </c>
      <c r="G133" s="25" t="s">
        <v>80</v>
      </c>
      <c r="H133" s="19" t="s">
        <v>275</v>
      </c>
      <c r="I133" s="19" t="s">
        <v>276</v>
      </c>
      <c r="J133" s="22" t="s">
        <v>277</v>
      </c>
    </row>
    <row r="134" customFormat="false" ht="15" hidden="false" customHeight="false" outlineLevel="0" collapsed="false">
      <c r="A134" s="15" t="n">
        <v>6</v>
      </c>
      <c r="B134" s="16" t="n">
        <v>46135</v>
      </c>
      <c r="C134" s="6" t="s">
        <v>35</v>
      </c>
      <c r="D134" s="7" t="n">
        <v>0.354166666666667</v>
      </c>
      <c r="E134" s="7" t="n">
        <v>0.368055555555556</v>
      </c>
      <c r="F134" s="17" t="n">
        <f aca="false">IF(OR(D134="",E134=""),"",(E134-D134)*1440)</f>
        <v>20</v>
      </c>
      <c r="G134" s="25" t="s">
        <v>80</v>
      </c>
      <c r="H134" s="19" t="s">
        <v>278</v>
      </c>
      <c r="I134" s="19" t="s">
        <v>279</v>
      </c>
      <c r="J134" s="22" t="s">
        <v>280</v>
      </c>
    </row>
    <row r="135" customFormat="false" ht="15" hidden="false" customHeight="false" outlineLevel="0" collapsed="false">
      <c r="A135" s="15" t="n">
        <v>6</v>
      </c>
      <c r="B135" s="16" t="n">
        <v>46135</v>
      </c>
      <c r="C135" s="6" t="s">
        <v>35</v>
      </c>
      <c r="D135" s="7" t="n">
        <v>0.368055555555556</v>
      </c>
      <c r="E135" s="7" t="n">
        <v>0.375</v>
      </c>
      <c r="F135" s="17" t="n">
        <f aca="false">IF(OR(D135="",E135=""),"",(E135-D135)*1440)</f>
        <v>10</v>
      </c>
      <c r="G135" s="25" t="s">
        <v>80</v>
      </c>
      <c r="H135" s="19" t="s">
        <v>221</v>
      </c>
      <c r="I135" s="19" t="s">
        <v>281</v>
      </c>
      <c r="J135" s="20"/>
    </row>
    <row r="136" customFormat="false" ht="15" hidden="false" customHeight="false" outlineLevel="0" collapsed="false">
      <c r="A136" s="15" t="n">
        <v>6</v>
      </c>
      <c r="B136" s="16" t="n">
        <v>46135</v>
      </c>
      <c r="C136" s="6" t="s">
        <v>35</v>
      </c>
      <c r="D136" s="7" t="n">
        <v>0.375</v>
      </c>
      <c r="E136" s="7" t="n">
        <v>0.444444444444444</v>
      </c>
      <c r="F136" s="17" t="n">
        <f aca="false">IF(OR(D136="",E136=""),"",(E136-D136)*1440)</f>
        <v>100</v>
      </c>
      <c r="G136" s="25" t="s">
        <v>80</v>
      </c>
      <c r="H136" s="19" t="s">
        <v>282</v>
      </c>
      <c r="I136" s="19" t="s">
        <v>283</v>
      </c>
      <c r="J136" s="22" t="s">
        <v>284</v>
      </c>
    </row>
    <row r="137" customFormat="false" ht="26.85" hidden="false" customHeight="false" outlineLevel="0" collapsed="false">
      <c r="A137" s="15" t="n">
        <v>6</v>
      </c>
      <c r="B137" s="16" t="n">
        <v>46135</v>
      </c>
      <c r="C137" s="6" t="s">
        <v>35</v>
      </c>
      <c r="D137" s="7" t="n">
        <v>0.444444444444444</v>
      </c>
      <c r="E137" s="7" t="n">
        <v>0.465277777777778</v>
      </c>
      <c r="F137" s="17" t="n">
        <f aca="false">IF(OR(D137="",E137=""),"",(E137-D137)*1440)</f>
        <v>30</v>
      </c>
      <c r="G137" s="25" t="s">
        <v>80</v>
      </c>
      <c r="H137" s="19" t="s">
        <v>285</v>
      </c>
      <c r="I137" s="19" t="s">
        <v>286</v>
      </c>
      <c r="J137" s="22" t="s">
        <v>287</v>
      </c>
    </row>
    <row r="138" customFormat="false" ht="15" hidden="false" customHeight="false" outlineLevel="0" collapsed="false">
      <c r="A138" s="15" t="n">
        <v>6</v>
      </c>
      <c r="B138" s="16" t="n">
        <v>46135</v>
      </c>
      <c r="C138" s="6" t="s">
        <v>35</v>
      </c>
      <c r="D138" s="7" t="n">
        <v>0.465277777777778</v>
      </c>
      <c r="E138" s="7" t="n">
        <v>0.479166666666667</v>
      </c>
      <c r="F138" s="17" t="n">
        <f aca="false">IF(OR(D138="",E138=""),"",(E138-D138)*1440)</f>
        <v>20</v>
      </c>
      <c r="G138" s="25" t="s">
        <v>80</v>
      </c>
      <c r="H138" s="19" t="s">
        <v>288</v>
      </c>
      <c r="I138" s="19" t="s">
        <v>289</v>
      </c>
      <c r="J138" s="22" t="s">
        <v>277</v>
      </c>
    </row>
    <row r="139" customFormat="false" ht="15" hidden="false" customHeight="false" outlineLevel="0" collapsed="false">
      <c r="A139" s="15" t="n">
        <v>6</v>
      </c>
      <c r="B139" s="16" t="n">
        <v>46135</v>
      </c>
      <c r="C139" s="6" t="s">
        <v>35</v>
      </c>
      <c r="D139" s="7" t="n">
        <v>0.479166666666667</v>
      </c>
      <c r="E139" s="7" t="n">
        <v>0.486111111111111</v>
      </c>
      <c r="F139" s="17" t="n">
        <f aca="false">IF(OR(D139="",E139=""),"",(E139-D139)*1440)</f>
        <v>10</v>
      </c>
      <c r="G139" s="21" t="s">
        <v>69</v>
      </c>
      <c r="H139" s="19" t="s">
        <v>290</v>
      </c>
      <c r="I139" s="24"/>
      <c r="J139" s="20"/>
    </row>
    <row r="140" customFormat="false" ht="15" hidden="false" customHeight="false" outlineLevel="0" collapsed="false">
      <c r="A140" s="15" t="n">
        <v>6</v>
      </c>
      <c r="B140" s="16" t="n">
        <v>46135</v>
      </c>
      <c r="C140" s="6" t="s">
        <v>35</v>
      </c>
      <c r="D140" s="7" t="n">
        <v>0.486111111111111</v>
      </c>
      <c r="E140" s="7" t="n">
        <v>0.493055555555556</v>
      </c>
      <c r="F140" s="17" t="n">
        <f aca="false">IF(OR(D140="",E140=""),"",(E140-D140)*1440)</f>
        <v>10</v>
      </c>
      <c r="G140" s="21" t="s">
        <v>69</v>
      </c>
      <c r="H140" s="19" t="s">
        <v>70</v>
      </c>
      <c r="I140" s="24"/>
      <c r="J140" s="22" t="s">
        <v>220</v>
      </c>
    </row>
    <row r="141" customFormat="false" ht="129.1" hidden="false" customHeight="false" outlineLevel="0" collapsed="false">
      <c r="A141" s="15" t="n">
        <v>6</v>
      </c>
      <c r="B141" s="16" t="n">
        <v>46135</v>
      </c>
      <c r="C141" s="6" t="s">
        <v>35</v>
      </c>
      <c r="D141" s="7" t="n">
        <v>0.493055555555556</v>
      </c>
      <c r="E141" s="7" t="n">
        <v>0.583333333333333</v>
      </c>
      <c r="F141" s="17" t="n">
        <f aca="false">IF(OR(D141="",E141=""),"",(E141-D141)*1440)</f>
        <v>130</v>
      </c>
      <c r="G141" s="26" t="s">
        <v>104</v>
      </c>
      <c r="H141" s="19" t="s">
        <v>291</v>
      </c>
      <c r="I141" s="19" t="s">
        <v>292</v>
      </c>
      <c r="J141" s="22" t="s">
        <v>293</v>
      </c>
    </row>
    <row r="142" customFormat="false" ht="15" hidden="false" customHeight="false" outlineLevel="0" collapsed="false">
      <c r="A142" s="15" t="n">
        <v>6</v>
      </c>
      <c r="B142" s="16" t="n">
        <v>46135</v>
      </c>
      <c r="C142" s="6" t="s">
        <v>35</v>
      </c>
      <c r="D142" s="7" t="n">
        <v>0.583333333333333</v>
      </c>
      <c r="E142" s="7" t="n">
        <v>0.645833333333333</v>
      </c>
      <c r="F142" s="17" t="n">
        <f aca="false">IF(OR(D142="",E142=""),"",(E142-D142)*1440)</f>
        <v>90</v>
      </c>
      <c r="G142" s="21" t="s">
        <v>69</v>
      </c>
      <c r="H142" s="19" t="s">
        <v>70</v>
      </c>
      <c r="I142" s="24"/>
      <c r="J142" s="22" t="s">
        <v>294</v>
      </c>
    </row>
    <row r="143" customFormat="false" ht="15" hidden="false" customHeight="false" outlineLevel="0" collapsed="false">
      <c r="A143" s="15" t="n">
        <v>6</v>
      </c>
      <c r="B143" s="16" t="n">
        <v>46135</v>
      </c>
      <c r="C143" s="6" t="s">
        <v>35</v>
      </c>
      <c r="D143" s="7" t="n">
        <v>0.645833333333333</v>
      </c>
      <c r="E143" s="7" t="n">
        <v>0.791666666666667</v>
      </c>
      <c r="F143" s="17" t="n">
        <f aca="false">IF(OR(D143="",E143=""),"",(E143-D143)*1440)</f>
        <v>210</v>
      </c>
      <c r="G143" s="25" t="s">
        <v>80</v>
      </c>
      <c r="H143" s="19" t="s">
        <v>295</v>
      </c>
      <c r="I143" s="19" t="s">
        <v>296</v>
      </c>
      <c r="J143" s="22" t="s">
        <v>297</v>
      </c>
    </row>
    <row r="144" customFormat="false" ht="15" hidden="false" customHeight="false" outlineLevel="0" collapsed="false">
      <c r="A144" s="15" t="n">
        <v>6</v>
      </c>
      <c r="B144" s="16" t="n">
        <v>46135</v>
      </c>
      <c r="C144" s="6" t="s">
        <v>35</v>
      </c>
      <c r="D144" s="7" t="n">
        <v>0.791666666666667</v>
      </c>
      <c r="E144" s="7" t="n">
        <v>0.8125</v>
      </c>
      <c r="F144" s="17" t="n">
        <f aca="false">IF(OR(D144="",E144=""),"",(E144-D144)*1440)</f>
        <v>30</v>
      </c>
      <c r="G144" s="21" t="s">
        <v>69</v>
      </c>
      <c r="H144" s="19" t="s">
        <v>70</v>
      </c>
      <c r="I144" s="24"/>
      <c r="J144" s="22" t="s">
        <v>298</v>
      </c>
    </row>
    <row r="145" customFormat="false" ht="15" hidden="false" customHeight="false" outlineLevel="0" collapsed="false">
      <c r="A145" s="15" t="n">
        <v>6</v>
      </c>
      <c r="B145" s="16" t="n">
        <v>46135</v>
      </c>
      <c r="C145" s="6" t="s">
        <v>35</v>
      </c>
      <c r="D145" s="7" t="n">
        <v>0.8125</v>
      </c>
      <c r="E145" s="7" t="n">
        <v>0.826388888888889</v>
      </c>
      <c r="F145" s="17" t="n">
        <f aca="false">IF(OR(D145="",E145=""),"",(E145-D145)*1440)</f>
        <v>20</v>
      </c>
      <c r="G145" s="25" t="s">
        <v>80</v>
      </c>
      <c r="H145" s="19" t="s">
        <v>299</v>
      </c>
      <c r="I145" s="19" t="s">
        <v>300</v>
      </c>
      <c r="J145" s="20"/>
    </row>
    <row r="146" customFormat="false" ht="15" hidden="false" customHeight="false" outlineLevel="0" collapsed="false">
      <c r="A146" s="15" t="n">
        <v>6</v>
      </c>
      <c r="B146" s="16" t="n">
        <v>46135</v>
      </c>
      <c r="C146" s="6" t="s">
        <v>35</v>
      </c>
      <c r="D146" s="7" t="n">
        <v>0.826388888888889</v>
      </c>
      <c r="E146" s="7" t="n">
        <v>0.833333333333333</v>
      </c>
      <c r="F146" s="17" t="n">
        <f aca="false">IF(OR(D146="",E146=""),"",(E146-D146)*1440)</f>
        <v>10</v>
      </c>
      <c r="G146" s="21" t="s">
        <v>69</v>
      </c>
      <c r="H146" s="19" t="s">
        <v>70</v>
      </c>
      <c r="I146" s="24"/>
      <c r="J146" s="22" t="s">
        <v>301</v>
      </c>
    </row>
    <row r="147" customFormat="false" ht="15" hidden="false" customHeight="false" outlineLevel="0" collapsed="false">
      <c r="A147" s="15" t="n">
        <v>6</v>
      </c>
      <c r="B147" s="16" t="n">
        <v>46135</v>
      </c>
      <c r="C147" s="6" t="s">
        <v>35</v>
      </c>
      <c r="D147" s="7" t="n">
        <v>0.833333333333333</v>
      </c>
      <c r="E147" s="7" t="n">
        <v>0.875</v>
      </c>
      <c r="F147" s="17" t="n">
        <f aca="false">IF(OR(D147="",E147=""),"",(E147-D147)*1440)</f>
        <v>60</v>
      </c>
      <c r="G147" s="26" t="s">
        <v>104</v>
      </c>
      <c r="H147" s="19" t="s">
        <v>302</v>
      </c>
      <c r="I147" s="19" t="s">
        <v>303</v>
      </c>
      <c r="J147" s="20"/>
    </row>
    <row r="148" customFormat="false" ht="15" hidden="false" customHeight="false" outlineLevel="0" collapsed="false">
      <c r="A148" s="15" t="n">
        <v>6</v>
      </c>
      <c r="B148" s="16" t="n">
        <v>46135</v>
      </c>
      <c r="C148" s="6" t="s">
        <v>35</v>
      </c>
      <c r="D148" s="7" t="n">
        <v>0.875</v>
      </c>
      <c r="E148" s="7" t="n">
        <v>0.881944444444444</v>
      </c>
      <c r="F148" s="17" t="n">
        <f aca="false">IF(OR(D148="",E148=""),"",(E148-D148)*1440)</f>
        <v>10</v>
      </c>
      <c r="G148" s="21" t="s">
        <v>69</v>
      </c>
      <c r="H148" s="19" t="s">
        <v>70</v>
      </c>
      <c r="I148" s="24"/>
      <c r="J148" s="22" t="s">
        <v>304</v>
      </c>
    </row>
    <row r="149" customFormat="false" ht="15" hidden="false" customHeight="false" outlineLevel="0" collapsed="false">
      <c r="A149" s="15" t="n">
        <v>6</v>
      </c>
      <c r="B149" s="16" t="n">
        <v>46135</v>
      </c>
      <c r="C149" s="6" t="s">
        <v>35</v>
      </c>
      <c r="D149" s="15"/>
      <c r="E149" s="15"/>
      <c r="F149" s="17" t="str">
        <f aca="false">IF(OR(D149="",E149=""),"",(E149-D149)*1440)</f>
        <v/>
      </c>
      <c r="G149" s="18" t="s">
        <v>66</v>
      </c>
      <c r="H149" s="24" t="s">
        <v>102</v>
      </c>
      <c r="I149" s="24" t="s">
        <v>37</v>
      </c>
      <c r="J149" s="20"/>
    </row>
    <row r="150" customFormat="false" ht="15" hidden="false" customHeight="false" outlineLevel="0" collapsed="false">
      <c r="A150" s="15" t="n">
        <v>7</v>
      </c>
      <c r="B150" s="16" t="n">
        <v>46136</v>
      </c>
      <c r="C150" s="6" t="s">
        <v>40</v>
      </c>
      <c r="D150" s="15"/>
      <c r="E150" s="15"/>
      <c r="F150" s="17" t="str">
        <f aca="false">IF(OR(D150="",E150=""),"",(E150-D150)*1440)</f>
        <v/>
      </c>
      <c r="G150" s="18" t="s">
        <v>66</v>
      </c>
      <c r="H150" s="19" t="s">
        <v>67</v>
      </c>
      <c r="I150" s="24" t="s">
        <v>37</v>
      </c>
      <c r="J150" s="20"/>
    </row>
    <row r="151" customFormat="false" ht="15" hidden="false" customHeight="false" outlineLevel="0" collapsed="false">
      <c r="A151" s="15" t="n">
        <v>7</v>
      </c>
      <c r="B151" s="16" t="n">
        <v>46136</v>
      </c>
      <c r="C151" s="6" t="s">
        <v>40</v>
      </c>
      <c r="D151" s="15"/>
      <c r="E151" s="15"/>
      <c r="F151" s="17" t="str">
        <f aca="false">IF(OR(D151="",E151=""),"",(E151-D151)*1440)</f>
        <v/>
      </c>
      <c r="G151" s="26" t="s">
        <v>104</v>
      </c>
      <c r="H151" s="19" t="s">
        <v>305</v>
      </c>
      <c r="I151" s="24" t="s">
        <v>37</v>
      </c>
      <c r="J151" s="20"/>
    </row>
    <row r="152" customFormat="false" ht="15" hidden="false" customHeight="false" outlineLevel="0" collapsed="false">
      <c r="A152" s="15" t="n">
        <v>7</v>
      </c>
      <c r="B152" s="16" t="n">
        <v>46136</v>
      </c>
      <c r="C152" s="6" t="s">
        <v>40</v>
      </c>
      <c r="D152" s="7" t="n">
        <v>0.322916666666667</v>
      </c>
      <c r="E152" s="7" t="n">
        <v>0.333333333333333</v>
      </c>
      <c r="F152" s="17" t="n">
        <f aca="false">IF(OR(D152="",E152=""),"",(E152-D152)*1440)</f>
        <v>15</v>
      </c>
      <c r="G152" s="21" t="s">
        <v>69</v>
      </c>
      <c r="H152" s="19" t="s">
        <v>70</v>
      </c>
      <c r="I152" s="24"/>
      <c r="J152" s="22" t="s">
        <v>306</v>
      </c>
    </row>
    <row r="153" customFormat="false" ht="15" hidden="false" customHeight="false" outlineLevel="0" collapsed="false">
      <c r="A153" s="15" t="n">
        <v>7</v>
      </c>
      <c r="B153" s="16" t="n">
        <v>46136</v>
      </c>
      <c r="C153" s="6" t="s">
        <v>40</v>
      </c>
      <c r="D153" s="7" t="n">
        <v>0.333333333333333</v>
      </c>
      <c r="E153" s="7" t="n">
        <v>0.354166666666667</v>
      </c>
      <c r="F153" s="17" t="n">
        <f aca="false">IF(OR(D153="",E153=""),"",(E153-D153)*1440)</f>
        <v>30</v>
      </c>
      <c r="G153" s="25" t="s">
        <v>80</v>
      </c>
      <c r="H153" s="19" t="s">
        <v>307</v>
      </c>
      <c r="I153" s="19" t="s">
        <v>308</v>
      </c>
      <c r="J153" s="20"/>
    </row>
    <row r="154" customFormat="false" ht="15" hidden="false" customHeight="false" outlineLevel="0" collapsed="false">
      <c r="A154" s="15" t="n">
        <v>7</v>
      </c>
      <c r="B154" s="16" t="n">
        <v>46136</v>
      </c>
      <c r="C154" s="6" t="s">
        <v>40</v>
      </c>
      <c r="D154" s="7" t="n">
        <v>0.354166666666667</v>
      </c>
      <c r="E154" s="7" t="n">
        <v>0.375</v>
      </c>
      <c r="F154" s="17" t="n">
        <f aca="false">IF(OR(D154="",E154=""),"",(E154-D154)*1440)</f>
        <v>30</v>
      </c>
      <c r="G154" s="21" t="s">
        <v>69</v>
      </c>
      <c r="H154" s="19" t="s">
        <v>70</v>
      </c>
      <c r="I154" s="24"/>
      <c r="J154" s="22" t="s">
        <v>309</v>
      </c>
    </row>
    <row r="155" customFormat="false" ht="15" hidden="false" customHeight="false" outlineLevel="0" collapsed="false">
      <c r="A155" s="15" t="n">
        <v>7</v>
      </c>
      <c r="B155" s="16" t="n">
        <v>46136</v>
      </c>
      <c r="C155" s="6" t="s">
        <v>40</v>
      </c>
      <c r="D155" s="7" t="n">
        <v>0.375</v>
      </c>
      <c r="E155" s="7" t="n">
        <v>0.40625</v>
      </c>
      <c r="F155" s="17" t="n">
        <f aca="false">IF(OR(D155="",E155=""),"",(E155-D155)*1440)</f>
        <v>45</v>
      </c>
      <c r="G155" s="25" t="s">
        <v>80</v>
      </c>
      <c r="H155" s="19" t="s">
        <v>310</v>
      </c>
      <c r="I155" s="19" t="s">
        <v>311</v>
      </c>
      <c r="J155" s="22" t="s">
        <v>312</v>
      </c>
    </row>
    <row r="156" customFormat="false" ht="15" hidden="false" customHeight="false" outlineLevel="0" collapsed="false">
      <c r="A156" s="15" t="n">
        <v>7</v>
      </c>
      <c r="B156" s="16" t="n">
        <v>46136</v>
      </c>
      <c r="C156" s="6" t="s">
        <v>40</v>
      </c>
      <c r="D156" s="7" t="n">
        <v>0.40625</v>
      </c>
      <c r="E156" s="7" t="n">
        <v>0.416666666666667</v>
      </c>
      <c r="F156" s="17" t="n">
        <f aca="false">IF(OR(D156="",E156=""),"",(E156-D156)*1440)</f>
        <v>15</v>
      </c>
      <c r="G156" s="21" t="s">
        <v>69</v>
      </c>
      <c r="H156" s="19" t="s">
        <v>70</v>
      </c>
      <c r="I156" s="24"/>
      <c r="J156" s="20"/>
    </row>
    <row r="157" customFormat="false" ht="15" hidden="false" customHeight="false" outlineLevel="0" collapsed="false">
      <c r="A157" s="15" t="n">
        <v>7</v>
      </c>
      <c r="B157" s="16" t="n">
        <v>46136</v>
      </c>
      <c r="C157" s="6" t="s">
        <v>40</v>
      </c>
      <c r="D157" s="7" t="n">
        <v>0.416666666666667</v>
      </c>
      <c r="E157" s="7" t="n">
        <v>0.5</v>
      </c>
      <c r="F157" s="17" t="n">
        <f aca="false">IF(OR(D157="",E157=""),"",(E157-D157)*1440)</f>
        <v>120</v>
      </c>
      <c r="G157" s="25" t="s">
        <v>80</v>
      </c>
      <c r="H157" s="19" t="s">
        <v>313</v>
      </c>
      <c r="I157" s="19" t="s">
        <v>314</v>
      </c>
      <c r="J157" s="22" t="s">
        <v>315</v>
      </c>
    </row>
    <row r="158" customFormat="false" ht="15" hidden="false" customHeight="false" outlineLevel="0" collapsed="false">
      <c r="A158" s="15" t="n">
        <v>7</v>
      </c>
      <c r="B158" s="16" t="n">
        <v>46136</v>
      </c>
      <c r="C158" s="6" t="s">
        <v>40</v>
      </c>
      <c r="D158" s="7" t="n">
        <v>0.5</v>
      </c>
      <c r="E158" s="7" t="n">
        <v>0.503472222222222</v>
      </c>
      <c r="F158" s="17" t="n">
        <f aca="false">IF(OR(D158="",E158=""),"",(E158-D158)*1440)</f>
        <v>5</v>
      </c>
      <c r="G158" s="21" t="s">
        <v>69</v>
      </c>
      <c r="H158" s="19" t="s">
        <v>70</v>
      </c>
      <c r="I158" s="24"/>
      <c r="J158" s="20"/>
    </row>
    <row r="159" customFormat="false" ht="15" hidden="false" customHeight="false" outlineLevel="0" collapsed="false">
      <c r="A159" s="15" t="n">
        <v>7</v>
      </c>
      <c r="B159" s="16" t="n">
        <v>46136</v>
      </c>
      <c r="C159" s="6" t="s">
        <v>40</v>
      </c>
      <c r="D159" s="7" t="n">
        <v>0.503472222222222</v>
      </c>
      <c r="E159" s="7" t="n">
        <v>0.545138888888889</v>
      </c>
      <c r="F159" s="17" t="n">
        <f aca="false">IF(OR(D159="",E159=""),"",(E159-D159)*1440)</f>
        <v>60</v>
      </c>
      <c r="G159" s="26" t="s">
        <v>104</v>
      </c>
      <c r="H159" s="19" t="s">
        <v>316</v>
      </c>
      <c r="I159" s="19" t="s">
        <v>317</v>
      </c>
      <c r="J159" s="20" t="s">
        <v>318</v>
      </c>
    </row>
    <row r="160" customFormat="false" ht="15" hidden="false" customHeight="false" outlineLevel="0" collapsed="false">
      <c r="A160" s="15" t="n">
        <v>7</v>
      </c>
      <c r="B160" s="16" t="n">
        <v>46136</v>
      </c>
      <c r="C160" s="6" t="s">
        <v>40</v>
      </c>
      <c r="D160" s="7" t="n">
        <v>0.545138888888889</v>
      </c>
      <c r="E160" s="7" t="n">
        <v>0.645833333333333</v>
      </c>
      <c r="F160" s="17" t="n">
        <f aca="false">IF(OR(D160="",E160=""),"",(E160-D160)*1440)</f>
        <v>145</v>
      </c>
      <c r="G160" s="21" t="s">
        <v>69</v>
      </c>
      <c r="H160" s="19" t="s">
        <v>70</v>
      </c>
      <c r="I160" s="24"/>
      <c r="J160" s="20" t="s">
        <v>319</v>
      </c>
    </row>
    <row r="161" customFormat="false" ht="15" hidden="false" customHeight="false" outlineLevel="0" collapsed="false">
      <c r="A161" s="15" t="n">
        <v>7</v>
      </c>
      <c r="B161" s="16" t="n">
        <v>46136</v>
      </c>
      <c r="C161" s="6" t="s">
        <v>40</v>
      </c>
      <c r="D161" s="7" t="n">
        <v>0.645833333333333</v>
      </c>
      <c r="E161" s="7" t="n">
        <v>0.677083333333333</v>
      </c>
      <c r="F161" s="17" t="n">
        <f aca="false">IF(OR(D161="",E161=""),"",(E161-D161)*1440)</f>
        <v>45</v>
      </c>
      <c r="G161" s="18" t="s">
        <v>66</v>
      </c>
      <c r="H161" s="24" t="s">
        <v>102</v>
      </c>
      <c r="I161" s="24" t="s">
        <v>320</v>
      </c>
      <c r="J161" s="22" t="s">
        <v>321</v>
      </c>
    </row>
    <row r="162" customFormat="false" ht="15" hidden="false" customHeight="false" outlineLevel="0" collapsed="false">
      <c r="A162" s="15" t="n">
        <v>7</v>
      </c>
      <c r="B162" s="16" t="n">
        <v>46136</v>
      </c>
      <c r="C162" s="6" t="s">
        <v>40</v>
      </c>
      <c r="D162" s="7" t="n">
        <v>0.65625</v>
      </c>
      <c r="E162" s="7" t="n">
        <v>0.677083333333333</v>
      </c>
      <c r="F162" s="17" t="n">
        <f aca="false">IF(OR(D162="",E162=""),"",(E162-D162)*1440)</f>
        <v>30</v>
      </c>
      <c r="G162" s="21" t="s">
        <v>69</v>
      </c>
      <c r="H162" s="19" t="s">
        <v>322</v>
      </c>
      <c r="I162" s="24" t="s">
        <v>323</v>
      </c>
      <c r="J162" s="20"/>
    </row>
    <row r="163" customFormat="false" ht="15" hidden="false" customHeight="false" outlineLevel="0" collapsed="false">
      <c r="A163" s="15" t="n">
        <v>7</v>
      </c>
      <c r="B163" s="16" t="n">
        <v>46136</v>
      </c>
      <c r="C163" s="6" t="s">
        <v>40</v>
      </c>
      <c r="D163" s="7" t="n">
        <v>0.677083333333333</v>
      </c>
      <c r="E163" s="7" t="n">
        <v>0.6875</v>
      </c>
      <c r="F163" s="17" t="n">
        <f aca="false">IF(OR(D163="",E163=""),"",(E163-D163)*1440)</f>
        <v>15</v>
      </c>
      <c r="G163" s="21" t="s">
        <v>69</v>
      </c>
      <c r="H163" s="19" t="s">
        <v>324</v>
      </c>
      <c r="I163" s="24"/>
      <c r="J163" s="20"/>
    </row>
    <row r="164" customFormat="false" ht="15" hidden="false" customHeight="false" outlineLevel="0" collapsed="false">
      <c r="A164" s="15" t="n">
        <v>7</v>
      </c>
      <c r="B164" s="16" t="n">
        <v>46136</v>
      </c>
      <c r="C164" s="6" t="s">
        <v>40</v>
      </c>
      <c r="D164" s="7" t="n">
        <v>0.6875</v>
      </c>
      <c r="E164" s="7" t="n">
        <v>0.697222222222222</v>
      </c>
      <c r="F164" s="17" t="n">
        <f aca="false">IF(OR(D164="",E164=""),"",(E164-D164)*1440)</f>
        <v>14</v>
      </c>
      <c r="G164" s="21" t="s">
        <v>69</v>
      </c>
      <c r="H164" s="19" t="s">
        <v>325</v>
      </c>
      <c r="I164" s="24"/>
      <c r="J164" s="22" t="s">
        <v>326</v>
      </c>
    </row>
    <row r="165" customFormat="false" ht="15" hidden="false" customHeight="false" outlineLevel="0" collapsed="false">
      <c r="A165" s="15" t="n">
        <v>7</v>
      </c>
      <c r="B165" s="16" t="n">
        <v>46136</v>
      </c>
      <c r="C165" s="6" t="s">
        <v>40</v>
      </c>
      <c r="D165" s="7" t="n">
        <v>0.697916666666667</v>
      </c>
      <c r="E165" s="7" t="n">
        <v>0.875</v>
      </c>
      <c r="F165" s="17" t="n">
        <f aca="false">IF(OR(D165="",E165=""),"",(E165-D165)*1440)</f>
        <v>255</v>
      </c>
      <c r="G165" s="26" t="s">
        <v>104</v>
      </c>
      <c r="H165" s="19" t="s">
        <v>327</v>
      </c>
      <c r="I165" s="19" t="s">
        <v>328</v>
      </c>
      <c r="J165" s="20" t="s">
        <v>329</v>
      </c>
    </row>
    <row r="166" customFormat="false" ht="15" hidden="false" customHeight="false" outlineLevel="0" collapsed="false">
      <c r="A166" s="15" t="n">
        <v>7</v>
      </c>
      <c r="B166" s="16" t="n">
        <v>46136</v>
      </c>
      <c r="C166" s="6" t="s">
        <v>40</v>
      </c>
      <c r="D166" s="7" t="n">
        <v>0.880555555555556</v>
      </c>
      <c r="E166" s="7" t="n">
        <v>0.890972222222222</v>
      </c>
      <c r="F166" s="17" t="n">
        <f aca="false">IF(OR(D166="",E166=""),"",(E166-D166)*1440)</f>
        <v>15</v>
      </c>
      <c r="G166" s="21" t="s">
        <v>69</v>
      </c>
      <c r="H166" s="19" t="s">
        <v>330</v>
      </c>
      <c r="I166" s="24"/>
      <c r="J166" s="22" t="s">
        <v>331</v>
      </c>
    </row>
    <row r="167" customFormat="false" ht="15" hidden="false" customHeight="false" outlineLevel="0" collapsed="false">
      <c r="A167" s="15" t="n">
        <v>7</v>
      </c>
      <c r="B167" s="16" t="n">
        <v>46136</v>
      </c>
      <c r="C167" s="6" t="s">
        <v>40</v>
      </c>
      <c r="D167" s="7" t="n">
        <v>0.890972222222222</v>
      </c>
      <c r="E167" s="7" t="n">
        <v>0.895833333333333</v>
      </c>
      <c r="F167" s="17" t="n">
        <f aca="false">IF(OR(D167="",E167=""),"",(E167-D167)*1440)</f>
        <v>7</v>
      </c>
      <c r="G167" s="21" t="s">
        <v>69</v>
      </c>
      <c r="H167" s="19" t="s">
        <v>332</v>
      </c>
      <c r="I167" s="24"/>
      <c r="J167" s="20"/>
    </row>
    <row r="168" customFormat="false" ht="15" hidden="false" customHeight="false" outlineLevel="0" collapsed="false">
      <c r="A168" s="15" t="n">
        <v>7</v>
      </c>
      <c r="B168" s="16" t="n">
        <v>46136</v>
      </c>
      <c r="C168" s="6" t="s">
        <v>40</v>
      </c>
      <c r="D168" s="15"/>
      <c r="E168" s="15"/>
      <c r="F168" s="17" t="str">
        <f aca="false">IF(OR(D168="",E168=""),"",(E168-D168)*1440)</f>
        <v/>
      </c>
      <c r="G168" s="18" t="s">
        <v>66</v>
      </c>
      <c r="H168" s="19" t="s">
        <v>333</v>
      </c>
      <c r="I168" s="24" t="s">
        <v>320</v>
      </c>
      <c r="J168" s="20"/>
    </row>
    <row r="169" customFormat="false" ht="15" hidden="false" customHeight="false" outlineLevel="0" collapsed="false">
      <c r="A169" s="15" t="n">
        <v>8</v>
      </c>
      <c r="B169" s="16" t="n">
        <v>46137</v>
      </c>
      <c r="C169" s="6" t="s">
        <v>11</v>
      </c>
      <c r="D169" s="15"/>
      <c r="E169" s="15"/>
      <c r="F169" s="17" t="str">
        <f aca="false">IF(OR(D169="",E169=""),"",(E169-D169)*1440)</f>
        <v/>
      </c>
      <c r="G169" s="18" t="s">
        <v>66</v>
      </c>
      <c r="H169" s="19" t="s">
        <v>67</v>
      </c>
      <c r="I169" s="24" t="s">
        <v>320</v>
      </c>
      <c r="J169" s="20"/>
    </row>
    <row r="170" customFormat="false" ht="15" hidden="false" customHeight="false" outlineLevel="0" collapsed="false">
      <c r="A170" s="15" t="n">
        <v>8</v>
      </c>
      <c r="B170" s="16" t="n">
        <v>46137</v>
      </c>
      <c r="C170" s="6" t="s">
        <v>11</v>
      </c>
      <c r="D170" s="7" t="n">
        <v>0.354166666666667</v>
      </c>
      <c r="E170" s="7" t="n">
        <v>0.368055555555556</v>
      </c>
      <c r="F170" s="17" t="n">
        <f aca="false">IF(OR(D170="",E170=""),"",(E170-D170)*1440)</f>
        <v>20</v>
      </c>
      <c r="G170" s="21" t="s">
        <v>69</v>
      </c>
      <c r="H170" s="19" t="s">
        <v>334</v>
      </c>
      <c r="I170" s="19" t="s">
        <v>335</v>
      </c>
      <c r="J170" s="22" t="s">
        <v>336</v>
      </c>
    </row>
    <row r="171" customFormat="false" ht="15" hidden="false" customHeight="false" outlineLevel="0" collapsed="false">
      <c r="A171" s="15" t="n">
        <v>8</v>
      </c>
      <c r="B171" s="16" t="n">
        <v>46137</v>
      </c>
      <c r="C171" s="6" t="s">
        <v>11</v>
      </c>
      <c r="D171" s="7" t="n">
        <v>0.368055555555556</v>
      </c>
      <c r="E171" s="7" t="n">
        <v>0.395833333333333</v>
      </c>
      <c r="F171" s="17" t="n">
        <f aca="false">IF(OR(D171="",E171=""),"",(E171-D171)*1440)</f>
        <v>40</v>
      </c>
      <c r="G171" s="25" t="s">
        <v>80</v>
      </c>
      <c r="H171" s="19" t="s">
        <v>221</v>
      </c>
      <c r="I171" s="19" t="s">
        <v>337</v>
      </c>
      <c r="J171" s="22" t="s">
        <v>338</v>
      </c>
    </row>
    <row r="172" customFormat="false" ht="15" hidden="false" customHeight="false" outlineLevel="0" collapsed="false">
      <c r="A172" s="15" t="n">
        <v>8</v>
      </c>
      <c r="B172" s="16" t="n">
        <v>46137</v>
      </c>
      <c r="C172" s="6" t="s">
        <v>11</v>
      </c>
      <c r="D172" s="7" t="n">
        <v>0.392361111111111</v>
      </c>
      <c r="E172" s="7" t="n">
        <v>0.399305555555556</v>
      </c>
      <c r="F172" s="17" t="n">
        <f aca="false">IF(OR(D172="",E172=""),"",(E172-D172)*1440)</f>
        <v>10</v>
      </c>
      <c r="G172" s="23" t="s">
        <v>73</v>
      </c>
      <c r="H172" s="19" t="s">
        <v>339</v>
      </c>
      <c r="I172" s="19" t="s">
        <v>340</v>
      </c>
      <c r="J172" s="20"/>
    </row>
    <row r="173" customFormat="false" ht="15" hidden="false" customHeight="false" outlineLevel="0" collapsed="false">
      <c r="A173" s="15" t="n">
        <v>8</v>
      </c>
      <c r="B173" s="16" t="n">
        <v>46137</v>
      </c>
      <c r="C173" s="6" t="s">
        <v>11</v>
      </c>
      <c r="D173" s="7" t="n">
        <v>0.399305555555556</v>
      </c>
      <c r="E173" s="7" t="n">
        <v>0.413194444444444</v>
      </c>
      <c r="F173" s="17" t="n">
        <f aca="false">IF(OR(D173="",E173=""),"",(E173-D173)*1440)</f>
        <v>20</v>
      </c>
      <c r="G173" s="25" t="s">
        <v>80</v>
      </c>
      <c r="H173" s="19" t="s">
        <v>341</v>
      </c>
      <c r="I173" s="19" t="s">
        <v>335</v>
      </c>
      <c r="J173" s="20"/>
    </row>
    <row r="174" customFormat="false" ht="15" hidden="false" customHeight="false" outlineLevel="0" collapsed="false">
      <c r="A174" s="15" t="n">
        <v>8</v>
      </c>
      <c r="B174" s="16" t="n">
        <v>46137</v>
      </c>
      <c r="C174" s="6" t="s">
        <v>11</v>
      </c>
      <c r="D174" s="7" t="n">
        <v>0.413194444444444</v>
      </c>
      <c r="E174" s="7" t="n">
        <v>0.420138888888889</v>
      </c>
      <c r="F174" s="17" t="n">
        <f aca="false">IF(OR(D174="",E174=""),"",(E174-D174)*1440)</f>
        <v>10</v>
      </c>
      <c r="G174" s="23" t="s">
        <v>73</v>
      </c>
      <c r="H174" s="19" t="s">
        <v>339</v>
      </c>
      <c r="I174" s="19" t="s">
        <v>342</v>
      </c>
      <c r="J174" s="20"/>
    </row>
    <row r="175" customFormat="false" ht="29.85" hidden="false" customHeight="false" outlineLevel="0" collapsed="false">
      <c r="A175" s="15" t="n">
        <v>8</v>
      </c>
      <c r="B175" s="16" t="n">
        <v>46137</v>
      </c>
      <c r="C175" s="6" t="s">
        <v>11</v>
      </c>
      <c r="D175" s="7" t="n">
        <v>0.423611111111111</v>
      </c>
      <c r="E175" s="7" t="n">
        <v>0.465277777777778</v>
      </c>
      <c r="F175" s="17" t="n">
        <f aca="false">IF(OR(D175="",E175=""),"",(E175-D175)*1440)</f>
        <v>60</v>
      </c>
      <c r="G175" s="26" t="s">
        <v>104</v>
      </c>
      <c r="H175" s="19" t="s">
        <v>343</v>
      </c>
      <c r="I175" s="19" t="s">
        <v>340</v>
      </c>
      <c r="J175" s="22" t="s">
        <v>344</v>
      </c>
    </row>
    <row r="176" customFormat="false" ht="15" hidden="false" customHeight="false" outlineLevel="0" collapsed="false">
      <c r="A176" s="15" t="n">
        <v>8</v>
      </c>
      <c r="B176" s="16" t="n">
        <v>46137</v>
      </c>
      <c r="C176" s="6" t="s">
        <v>11</v>
      </c>
      <c r="D176" s="7" t="n">
        <v>0.465277777777778</v>
      </c>
      <c r="E176" s="7" t="n">
        <v>0.506944444444444</v>
      </c>
      <c r="F176" s="17" t="n">
        <f aca="false">IF(OR(D176="",E176=""),"",(E176-D176)*1440)</f>
        <v>60</v>
      </c>
      <c r="G176" s="26" t="s">
        <v>104</v>
      </c>
      <c r="H176" s="19" t="s">
        <v>343</v>
      </c>
      <c r="I176" s="19" t="s">
        <v>342</v>
      </c>
      <c r="J176" s="22" t="s">
        <v>345</v>
      </c>
    </row>
    <row r="177" customFormat="false" ht="15" hidden="false" customHeight="false" outlineLevel="0" collapsed="false">
      <c r="A177" s="15" t="n">
        <v>8</v>
      </c>
      <c r="B177" s="16" t="n">
        <v>46137</v>
      </c>
      <c r="C177" s="6" t="s">
        <v>11</v>
      </c>
      <c r="D177" s="7" t="n">
        <v>0.506944444444444</v>
      </c>
      <c r="E177" s="7" t="n">
        <v>0.541666666666667</v>
      </c>
      <c r="F177" s="17" t="n">
        <f aca="false">IF(OR(D177="",E177=""),"",(E177-D177)*1440)</f>
        <v>50</v>
      </c>
      <c r="G177" s="25" t="s">
        <v>80</v>
      </c>
      <c r="H177" s="19" t="s">
        <v>346</v>
      </c>
      <c r="I177" s="19" t="s">
        <v>335</v>
      </c>
      <c r="J177" s="20"/>
    </row>
    <row r="178" customFormat="false" ht="15" hidden="false" customHeight="false" outlineLevel="0" collapsed="false">
      <c r="A178" s="15" t="n">
        <v>8</v>
      </c>
      <c r="B178" s="16" t="n">
        <v>46137</v>
      </c>
      <c r="C178" s="6" t="s">
        <v>11</v>
      </c>
      <c r="D178" s="7" t="n">
        <v>0.541666666666667</v>
      </c>
      <c r="E178" s="7" t="n">
        <v>0.555555555555556</v>
      </c>
      <c r="F178" s="17" t="n">
        <f aca="false">IF(OR(D178="",E178=""),"",(E178-D178)*1440)</f>
        <v>20</v>
      </c>
      <c r="G178" s="21" t="s">
        <v>69</v>
      </c>
      <c r="H178" s="19" t="s">
        <v>169</v>
      </c>
      <c r="I178" s="24"/>
      <c r="J178" s="20"/>
    </row>
    <row r="179" customFormat="false" ht="15" hidden="false" customHeight="false" outlineLevel="0" collapsed="false">
      <c r="A179" s="15" t="n">
        <v>8</v>
      </c>
      <c r="B179" s="16" t="n">
        <v>46137</v>
      </c>
      <c r="C179" s="6" t="s">
        <v>11</v>
      </c>
      <c r="D179" s="7" t="n">
        <v>0.555555555555556</v>
      </c>
      <c r="E179" s="7" t="n">
        <v>0.5625</v>
      </c>
      <c r="F179" s="17" t="n">
        <f aca="false">IF(OR(D179="",E179=""),"",(E179-D179)*1440)</f>
        <v>10</v>
      </c>
      <c r="G179" s="25" t="s">
        <v>80</v>
      </c>
      <c r="H179" s="19" t="s">
        <v>347</v>
      </c>
      <c r="I179" s="24" t="s">
        <v>320</v>
      </c>
      <c r="J179" s="20"/>
    </row>
    <row r="180" customFormat="false" ht="15" hidden="false" customHeight="false" outlineLevel="0" collapsed="false">
      <c r="A180" s="15" t="n">
        <v>8</v>
      </c>
      <c r="B180" s="16" t="n">
        <v>46137</v>
      </c>
      <c r="C180" s="6" t="s">
        <v>11</v>
      </c>
      <c r="D180" s="7" t="n">
        <v>0.5625</v>
      </c>
      <c r="E180" s="7" t="n">
        <v>0.582638888888889</v>
      </c>
      <c r="F180" s="17" t="n">
        <f aca="false">IF(OR(D180="",E180=""),"",(E180-D180)*1440)</f>
        <v>29</v>
      </c>
      <c r="G180" s="21" t="s">
        <v>69</v>
      </c>
      <c r="H180" s="19" t="s">
        <v>348</v>
      </c>
      <c r="I180" s="24"/>
      <c r="J180" s="20"/>
    </row>
    <row r="181" customFormat="false" ht="29.85" hidden="false" customHeight="false" outlineLevel="0" collapsed="false">
      <c r="A181" s="15" t="n">
        <v>8</v>
      </c>
      <c r="B181" s="16" t="n">
        <v>46137</v>
      </c>
      <c r="C181" s="6" t="s">
        <v>11</v>
      </c>
      <c r="D181" s="7" t="n">
        <v>0.582638888888889</v>
      </c>
      <c r="E181" s="7" t="n">
        <v>0.586805555555556</v>
      </c>
      <c r="F181" s="17" t="n">
        <f aca="false">IF(OR(D181="",E181=""),"",(E181-D181)*1440)</f>
        <v>6</v>
      </c>
      <c r="G181" s="21" t="s">
        <v>69</v>
      </c>
      <c r="H181" s="19" t="s">
        <v>349</v>
      </c>
      <c r="I181" s="19" t="s">
        <v>350</v>
      </c>
      <c r="J181" s="20" t="s">
        <v>351</v>
      </c>
    </row>
    <row r="182" customFormat="false" ht="15" hidden="false" customHeight="false" outlineLevel="0" collapsed="false">
      <c r="A182" s="15" t="n">
        <v>8</v>
      </c>
      <c r="B182" s="16" t="n">
        <v>46137</v>
      </c>
      <c r="C182" s="6" t="s">
        <v>11</v>
      </c>
      <c r="D182" s="7" t="n">
        <v>0.586805555555556</v>
      </c>
      <c r="E182" s="7" t="n">
        <v>0.597222222222222</v>
      </c>
      <c r="F182" s="17" t="n">
        <f aca="false">IF(OR(D182="",E182=""),"",(E182-D182)*1440)</f>
        <v>15</v>
      </c>
      <c r="G182" s="21" t="s">
        <v>69</v>
      </c>
      <c r="H182" s="19" t="s">
        <v>352</v>
      </c>
      <c r="I182" s="24" t="s">
        <v>353</v>
      </c>
      <c r="J182" s="20"/>
    </row>
    <row r="183" customFormat="false" ht="15" hidden="false" customHeight="false" outlineLevel="0" collapsed="false">
      <c r="A183" s="15" t="n">
        <v>8</v>
      </c>
      <c r="B183" s="16" t="n">
        <v>46137</v>
      </c>
      <c r="C183" s="6" t="s">
        <v>11</v>
      </c>
      <c r="D183" s="7" t="n">
        <v>0.597222222222222</v>
      </c>
      <c r="E183" s="7" t="n">
        <v>0.680555555555556</v>
      </c>
      <c r="F183" s="17" t="n">
        <f aca="false">IF(OR(D183="",E183=""),"",(E183-D183)*1440)</f>
        <v>120</v>
      </c>
      <c r="G183" s="23" t="s">
        <v>73</v>
      </c>
      <c r="H183" s="19" t="s">
        <v>354</v>
      </c>
      <c r="I183" s="19" t="s">
        <v>82</v>
      </c>
      <c r="J183" s="20"/>
    </row>
    <row r="184" customFormat="false" ht="15" hidden="false" customHeight="false" outlineLevel="0" collapsed="false">
      <c r="A184" s="15" t="n">
        <v>8</v>
      </c>
      <c r="B184" s="16" t="n">
        <v>46137</v>
      </c>
      <c r="C184" s="6" t="s">
        <v>11</v>
      </c>
      <c r="D184" s="7" t="n">
        <v>0.680555555555556</v>
      </c>
      <c r="E184" s="7" t="n">
        <v>0.791666666666667</v>
      </c>
      <c r="F184" s="17" t="n">
        <f aca="false">IF(OR(D184="",E184=""),"",(E184-D184)*1440)</f>
        <v>160</v>
      </c>
      <c r="G184" s="21" t="s">
        <v>69</v>
      </c>
      <c r="H184" s="19" t="s">
        <v>77</v>
      </c>
      <c r="I184" s="24" t="s">
        <v>355</v>
      </c>
      <c r="J184" s="22" t="s">
        <v>356</v>
      </c>
    </row>
    <row r="185" customFormat="false" ht="15" hidden="false" customHeight="false" outlineLevel="0" collapsed="false">
      <c r="A185" s="15" t="n">
        <v>8</v>
      </c>
      <c r="B185" s="16" t="n">
        <v>46137</v>
      </c>
      <c r="C185" s="6" t="s">
        <v>11</v>
      </c>
      <c r="D185" s="15"/>
      <c r="E185" s="15"/>
      <c r="F185" s="17" t="str">
        <f aca="false">IF(OR(D185="",E185=""),"",(E185-D185)*1440)</f>
        <v/>
      </c>
      <c r="G185" s="25" t="s">
        <v>80</v>
      </c>
      <c r="H185" s="19" t="s">
        <v>81</v>
      </c>
      <c r="I185" s="19" t="s">
        <v>357</v>
      </c>
      <c r="J185" s="20"/>
    </row>
    <row r="186" customFormat="false" ht="15" hidden="false" customHeight="false" outlineLevel="0" collapsed="false">
      <c r="A186" s="15" t="n">
        <v>8</v>
      </c>
      <c r="B186" s="16" t="n">
        <v>46137</v>
      </c>
      <c r="C186" s="6" t="s">
        <v>11</v>
      </c>
      <c r="D186" s="15"/>
      <c r="E186" s="15"/>
      <c r="F186" s="17" t="str">
        <f aca="false">IF(OR(D186="",E186=""),"",(E186-D186)*1440)</f>
        <v/>
      </c>
      <c r="G186" s="21" t="s">
        <v>69</v>
      </c>
      <c r="H186" s="19" t="s">
        <v>70</v>
      </c>
      <c r="I186" s="24"/>
      <c r="J186" s="20"/>
    </row>
    <row r="187" customFormat="false" ht="15" hidden="false" customHeight="false" outlineLevel="0" collapsed="false">
      <c r="A187" s="15" t="n">
        <v>8</v>
      </c>
      <c r="B187" s="16" t="n">
        <v>46137</v>
      </c>
      <c r="C187" s="6" t="s">
        <v>11</v>
      </c>
      <c r="D187" s="15"/>
      <c r="E187" s="15"/>
      <c r="F187" s="17" t="str">
        <f aca="false">IF(OR(D187="",E187=""),"",(E187-D187)*1440)</f>
        <v/>
      </c>
      <c r="G187" s="21" t="s">
        <v>69</v>
      </c>
      <c r="H187" s="24"/>
      <c r="I187" s="19" t="s">
        <v>358</v>
      </c>
      <c r="J187" s="20"/>
    </row>
  </sheetData>
  <autoFilter ref="A4:J187"/>
  <mergeCells count="2">
    <mergeCell ref="A1:I1"/>
    <mergeCell ref="A2:I2"/>
  </mergeCells>
  <conditionalFormatting sqref="A5:J187">
    <cfRule type="expression" priority="2" aboveAverage="0" equalAverage="0" bottom="0" percent="0" rank="0" text="" dxfId="10">
      <formula>MOD($A5,2)=0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27.75" hidden="false" customHeight="true" outlineLevel="0" collapsed="false">
      <c r="A1" s="14" t="s">
        <v>359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2" t="s">
        <v>12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360</v>
      </c>
    </row>
    <row r="5" customFormat="false" ht="15" hidden="false" customHeight="false" outlineLevel="0" collapsed="false">
      <c r="A5" s="6"/>
      <c r="B5" s="6"/>
      <c r="C5" s="17" t="str">
        <f aca="false">IF(OR(A5="",B5=""),"",(B5-A5)*1440)</f>
        <v/>
      </c>
      <c r="D5" s="18" t="s">
        <v>66</v>
      </c>
      <c r="E5" s="19" t="s">
        <v>67</v>
      </c>
      <c r="F5" s="22" t="s">
        <v>68</v>
      </c>
    </row>
    <row r="6" customFormat="false" ht="15" hidden="false" customHeight="false" outlineLevel="0" collapsed="false">
      <c r="A6" s="7" t="n">
        <v>0.208333333333333</v>
      </c>
      <c r="B6" s="7" t="n">
        <v>0.256944444444444</v>
      </c>
      <c r="C6" s="17" t="n">
        <f aca="false">IF(OR(A6="",B6=""),"",(B6-A6)*1440)</f>
        <v>70</v>
      </c>
      <c r="D6" s="21" t="s">
        <v>69</v>
      </c>
      <c r="E6" s="19" t="s">
        <v>70</v>
      </c>
      <c r="F6" s="22" t="s">
        <v>361</v>
      </c>
    </row>
    <row r="7" customFormat="false" ht="15" hidden="false" customHeight="false" outlineLevel="0" collapsed="false">
      <c r="A7" s="7" t="n">
        <v>0.256944444444444</v>
      </c>
      <c r="B7" s="7" t="n">
        <v>0.270833333333333</v>
      </c>
      <c r="C7" s="17" t="n">
        <f aca="false">IF(OR(A7="",B7=""),"",(B7-A7)*1440)</f>
        <v>20</v>
      </c>
      <c r="D7" s="21" t="s">
        <v>69</v>
      </c>
      <c r="E7" s="19" t="s">
        <v>72</v>
      </c>
      <c r="F7" s="22"/>
    </row>
    <row r="8" customFormat="false" ht="15" hidden="false" customHeight="false" outlineLevel="0" collapsed="false">
      <c r="A8" s="7" t="n">
        <v>0.270833333333333</v>
      </c>
      <c r="B8" s="7" t="n">
        <v>0.354166666666667</v>
      </c>
      <c r="C8" s="17" t="n">
        <f aca="false">IF(OR(A8="",B8=""),"",(B8-A8)*1440)</f>
        <v>120</v>
      </c>
      <c r="D8" s="23" t="s">
        <v>73</v>
      </c>
      <c r="E8" s="19" t="s">
        <v>74</v>
      </c>
      <c r="F8" s="22" t="s">
        <v>362</v>
      </c>
    </row>
    <row r="9" customFormat="false" ht="15" hidden="false" customHeight="false" outlineLevel="0" collapsed="false">
      <c r="A9" s="7" t="n">
        <v>0.354166666666667</v>
      </c>
      <c r="B9" s="7" t="n">
        <v>0.538194444444444</v>
      </c>
      <c r="C9" s="17" t="n">
        <f aca="false">IF(OR(A9="",B9=""),"",(B9-A9)*1440)</f>
        <v>265</v>
      </c>
      <c r="D9" s="21" t="s">
        <v>69</v>
      </c>
      <c r="E9" s="19" t="s">
        <v>77</v>
      </c>
      <c r="F9" s="20" t="s">
        <v>363</v>
      </c>
    </row>
    <row r="10" customFormat="false" ht="15" hidden="false" customHeight="false" outlineLevel="0" collapsed="false">
      <c r="A10" s="7" t="n">
        <v>0.538194444444444</v>
      </c>
      <c r="B10" s="7" t="n">
        <v>0.600694444444444</v>
      </c>
      <c r="C10" s="17" t="n">
        <f aca="false">IF(OR(A10="",B10=""),"",(B10-A10)*1440)</f>
        <v>90</v>
      </c>
      <c r="D10" s="25" t="s">
        <v>80</v>
      </c>
      <c r="E10" s="19" t="s">
        <v>81</v>
      </c>
      <c r="F10" s="22" t="s">
        <v>364</v>
      </c>
    </row>
    <row r="11" customFormat="false" ht="15" hidden="false" customHeight="false" outlineLevel="0" collapsed="false">
      <c r="A11" s="7" t="n">
        <v>0.600694444444444</v>
      </c>
      <c r="B11" s="7" t="n">
        <v>0.604166666666667</v>
      </c>
      <c r="C11" s="17" t="n">
        <f aca="false">IF(OR(A11="",B11=""),"",(B11-A11)*1440)</f>
        <v>5</v>
      </c>
      <c r="D11" s="21" t="s">
        <v>69</v>
      </c>
      <c r="E11" s="19" t="s">
        <v>84</v>
      </c>
      <c r="F11" s="22" t="s">
        <v>85</v>
      </c>
    </row>
    <row r="12" customFormat="false" ht="15" hidden="false" customHeight="false" outlineLevel="0" collapsed="false">
      <c r="A12" s="7" t="n">
        <v>0.604166666666667</v>
      </c>
      <c r="B12" s="7" t="n">
        <v>0.614583333333333</v>
      </c>
      <c r="C12" s="17" t="n">
        <f aca="false">IF(OR(A12="",B12=""),"",(B12-A12)*1440)</f>
        <v>15</v>
      </c>
      <c r="D12" s="21" t="s">
        <v>69</v>
      </c>
      <c r="E12" s="19" t="s">
        <v>86</v>
      </c>
      <c r="F12" s="22" t="s">
        <v>87</v>
      </c>
    </row>
    <row r="13" customFormat="false" ht="15" hidden="false" customHeight="false" outlineLevel="0" collapsed="false">
      <c r="A13" s="7" t="n">
        <v>0.614583333333333</v>
      </c>
      <c r="B13" s="7" t="n">
        <v>0.625</v>
      </c>
      <c r="C13" s="17" t="n">
        <f aca="false">IF(OR(A13="",B13=""),"",(B13-A13)*1440)</f>
        <v>15</v>
      </c>
      <c r="D13" s="21" t="s">
        <v>69</v>
      </c>
      <c r="E13" s="19" t="s">
        <v>88</v>
      </c>
      <c r="F13" s="20" t="s">
        <v>89</v>
      </c>
    </row>
    <row r="14" customFormat="false" ht="15" hidden="false" customHeight="false" outlineLevel="0" collapsed="false">
      <c r="A14" s="7" t="n">
        <v>0.625</v>
      </c>
      <c r="B14" s="7" t="n">
        <v>0.65625</v>
      </c>
      <c r="C14" s="17" t="n">
        <f aca="false">IF(OR(A14="",B14=""),"",(B14-A14)*1440)</f>
        <v>45</v>
      </c>
      <c r="D14" s="21" t="s">
        <v>69</v>
      </c>
      <c r="E14" s="19" t="s">
        <v>70</v>
      </c>
      <c r="F14" s="22" t="s">
        <v>365</v>
      </c>
    </row>
    <row r="15" customFormat="false" ht="15" hidden="false" customHeight="false" outlineLevel="0" collapsed="false">
      <c r="A15" s="7" t="n">
        <v>0.65625</v>
      </c>
      <c r="B15" s="7" t="n">
        <v>0.663194444444444</v>
      </c>
      <c r="C15" s="17" t="n">
        <f aca="false">IF(OR(A15="",B15=""),"",(B15-A15)*1440)</f>
        <v>10</v>
      </c>
      <c r="D15" s="25" t="s">
        <v>80</v>
      </c>
      <c r="E15" s="19" t="s">
        <v>91</v>
      </c>
      <c r="F15" s="22" t="s">
        <v>366</v>
      </c>
    </row>
    <row r="16" customFormat="false" ht="15" hidden="false" customHeight="false" outlineLevel="0" collapsed="false">
      <c r="A16" s="7" t="n">
        <v>0.663194444444444</v>
      </c>
      <c r="B16" s="7" t="n">
        <v>0.680555555555556</v>
      </c>
      <c r="C16" s="17" t="n">
        <f aca="false">IF(OR(A16="",B16=""),"",(B16-A16)*1440)</f>
        <v>25</v>
      </c>
      <c r="D16" s="21" t="s">
        <v>69</v>
      </c>
      <c r="E16" s="19" t="s">
        <v>70</v>
      </c>
      <c r="F16" s="22" t="s">
        <v>367</v>
      </c>
    </row>
    <row r="17" customFormat="false" ht="15" hidden="false" customHeight="false" outlineLevel="0" collapsed="false">
      <c r="A17" s="7" t="n">
        <v>0.680555555555556</v>
      </c>
      <c r="B17" s="7" t="n">
        <v>0.701388888888889</v>
      </c>
      <c r="C17" s="17" t="n">
        <f aca="false">IF(OR(A17="",B17=""),"",(B17-A17)*1440)</f>
        <v>30</v>
      </c>
      <c r="D17" s="25" t="s">
        <v>80</v>
      </c>
      <c r="E17" s="19" t="s">
        <v>95</v>
      </c>
      <c r="F17" s="22" t="s">
        <v>96</v>
      </c>
    </row>
    <row r="18" customFormat="false" ht="15" hidden="false" customHeight="false" outlineLevel="0" collapsed="false">
      <c r="A18" s="7" t="n">
        <v>0.701388888888889</v>
      </c>
      <c r="B18" s="7" t="n">
        <v>0.75</v>
      </c>
      <c r="C18" s="17" t="n">
        <f aca="false">IF(OR(A18="",B18=""),"",(B18-A18)*1440)</f>
        <v>70</v>
      </c>
      <c r="D18" s="21" t="s">
        <v>69</v>
      </c>
      <c r="E18" s="19" t="s">
        <v>70</v>
      </c>
      <c r="F18" s="22" t="s">
        <v>368</v>
      </c>
    </row>
    <row r="19" customFormat="false" ht="15" hidden="false" customHeight="false" outlineLevel="0" collapsed="false">
      <c r="A19" s="7" t="n">
        <v>0.75</v>
      </c>
      <c r="B19" s="7" t="n">
        <v>0.791666666666667</v>
      </c>
      <c r="C19" s="17" t="n">
        <f aca="false">IF(OR(A19="",B19=""),"",(B19-A19)*1440)</f>
        <v>60</v>
      </c>
      <c r="D19" s="25" t="s">
        <v>80</v>
      </c>
      <c r="E19" s="19" t="s">
        <v>98</v>
      </c>
      <c r="F19" s="20" t="s">
        <v>369</v>
      </c>
    </row>
    <row r="20" customFormat="false" ht="15" hidden="false" customHeight="false" outlineLevel="0" collapsed="false">
      <c r="A20" s="7" t="n">
        <v>0.791666666666667</v>
      </c>
      <c r="B20" s="7" t="n">
        <v>0.798611111111111</v>
      </c>
      <c r="C20" s="17" t="n">
        <f aca="false">IF(OR(A20="",B20=""),"",(B20-A20)*1440)</f>
        <v>10</v>
      </c>
      <c r="D20" s="21" t="s">
        <v>69</v>
      </c>
      <c r="E20" s="19" t="s">
        <v>70</v>
      </c>
      <c r="F20" s="22" t="s">
        <v>370</v>
      </c>
    </row>
    <row r="21" customFormat="false" ht="15" hidden="false" customHeight="false" outlineLevel="0" collapsed="false">
      <c r="A21" s="7" t="n">
        <v>0.798611111111111</v>
      </c>
      <c r="B21" s="7" t="n">
        <v>0.8125</v>
      </c>
      <c r="C21" s="17" t="n">
        <f aca="false">IF(OR(A21="",B21=""),"",(B21-A21)*1440)</f>
        <v>20</v>
      </c>
      <c r="D21" s="18" t="s">
        <v>66</v>
      </c>
      <c r="E21" s="24" t="s">
        <v>102</v>
      </c>
      <c r="F21" s="22" t="s">
        <v>103</v>
      </c>
    </row>
    <row r="22" customFormat="false" ht="15" hidden="false" customHeight="false" outlineLevel="0" collapsed="false">
      <c r="A22" s="7" t="n">
        <v>0.8125</v>
      </c>
      <c r="B22" s="7" t="n">
        <v>0.854166666666667</v>
      </c>
      <c r="C22" s="17" t="n">
        <f aca="false">IF(OR(A22="",B22=""),"",(B22-A22)*1440)</f>
        <v>60</v>
      </c>
      <c r="D22" s="26" t="s">
        <v>104</v>
      </c>
      <c r="E22" s="19" t="s">
        <v>105</v>
      </c>
      <c r="F22" s="22" t="s">
        <v>371</v>
      </c>
    </row>
    <row r="23" customFormat="false" ht="15" hidden="false" customHeight="false" outlineLevel="0" collapsed="false">
      <c r="A23" s="7" t="n">
        <v>0.854166666666667</v>
      </c>
      <c r="B23" s="7" t="n">
        <v>0.875</v>
      </c>
      <c r="C23" s="17" t="n">
        <f aca="false">IF(OR(A23="",B23=""),"",(B23-A23)*1440)</f>
        <v>30</v>
      </c>
      <c r="D23" s="25" t="s">
        <v>80</v>
      </c>
      <c r="E23" s="19" t="s">
        <v>108</v>
      </c>
      <c r="F23" s="22" t="s">
        <v>372</v>
      </c>
    </row>
    <row r="24" customFormat="false" ht="15" hidden="false" customHeight="false" outlineLevel="0" collapsed="false">
      <c r="A24" s="6"/>
      <c r="B24" s="6"/>
      <c r="C24" s="17" t="str">
        <f aca="false">IF(OR(A24="",B24=""),"",(B24-A24)*1440)</f>
        <v/>
      </c>
      <c r="D24" s="18" t="s">
        <v>66</v>
      </c>
      <c r="E24" s="19" t="s">
        <v>111</v>
      </c>
      <c r="F24" s="22" t="s">
        <v>373</v>
      </c>
    </row>
    <row r="26" customFormat="false" ht="15" hidden="false" customHeight="false" outlineLevel="0" collapsed="false">
      <c r="A26" s="27" t="s">
        <v>374</v>
      </c>
      <c r="C26" s="28" t="str">
        <f aca="false">TEXT(MIN(A5:A24),"hh:mm")&amp;" ~ "&amp;TEXT(MAX(B5:B24),"hh:mm")</f>
        <v>05:00 ~ 21:00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27.75" hidden="false" customHeight="true" outlineLevel="0" collapsed="false">
      <c r="A1" s="14" t="s">
        <v>375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2" t="s">
        <v>17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360</v>
      </c>
    </row>
    <row r="5" customFormat="false" ht="15" hidden="false" customHeight="false" outlineLevel="0" collapsed="false">
      <c r="A5" s="6"/>
      <c r="B5" s="6"/>
      <c r="C5" s="17" t="str">
        <f aca="false">IF(OR(A5="",B5=""),"",(B5-A5)*1440)</f>
        <v/>
      </c>
      <c r="D5" s="18" t="s">
        <v>66</v>
      </c>
      <c r="E5" s="19" t="s">
        <v>67</v>
      </c>
      <c r="F5" s="22" t="s">
        <v>103</v>
      </c>
    </row>
    <row r="6" customFormat="false" ht="15" hidden="false" customHeight="false" outlineLevel="0" collapsed="false">
      <c r="A6" s="7" t="n">
        <v>0.190972222222222</v>
      </c>
      <c r="B6" s="7" t="n">
        <v>0.197916666666667</v>
      </c>
      <c r="C6" s="17" t="n">
        <f aca="false">IF(OR(A6="",B6=""),"",(B6-A6)*1440)</f>
        <v>10</v>
      </c>
      <c r="D6" s="21" t="s">
        <v>69</v>
      </c>
      <c r="E6" s="19" t="s">
        <v>70</v>
      </c>
      <c r="F6" s="22" t="s">
        <v>368</v>
      </c>
    </row>
    <row r="7" customFormat="false" ht="15" hidden="false" customHeight="false" outlineLevel="0" collapsed="false">
      <c r="A7" s="7" t="n">
        <v>0.197916666666667</v>
      </c>
      <c r="B7" s="7" t="n">
        <v>0.21875</v>
      </c>
      <c r="C7" s="17" t="n">
        <f aca="false">IF(OR(A7="",B7=""),"",(B7-A7)*1440)</f>
        <v>30</v>
      </c>
      <c r="D7" s="25" t="s">
        <v>80</v>
      </c>
      <c r="E7" s="19" t="s">
        <v>113</v>
      </c>
      <c r="F7" s="22" t="s">
        <v>376</v>
      </c>
    </row>
    <row r="8" customFormat="false" ht="15" hidden="false" customHeight="false" outlineLevel="0" collapsed="false">
      <c r="A8" s="7" t="n">
        <v>0.21875</v>
      </c>
      <c r="B8" s="7" t="n">
        <v>0.225694444444444</v>
      </c>
      <c r="C8" s="17" t="n">
        <f aca="false">IF(OR(A8="",B8=""),"",(B8-A8)*1440)</f>
        <v>10</v>
      </c>
      <c r="D8" s="21" t="s">
        <v>69</v>
      </c>
      <c r="E8" s="19" t="s">
        <v>70</v>
      </c>
      <c r="F8" s="22" t="s">
        <v>370</v>
      </c>
    </row>
    <row r="9" customFormat="false" ht="15" hidden="false" customHeight="false" outlineLevel="0" collapsed="false">
      <c r="A9" s="7" t="n">
        <v>0.225694444444444</v>
      </c>
      <c r="B9" s="7" t="n">
        <v>0.25</v>
      </c>
      <c r="C9" s="17" t="n">
        <f aca="false">IF(OR(A9="",B9=""),"",(B9-A9)*1440)</f>
        <v>35</v>
      </c>
      <c r="D9" s="18" t="s">
        <v>66</v>
      </c>
      <c r="E9" s="19" t="s">
        <v>116</v>
      </c>
      <c r="F9" s="22" t="s">
        <v>103</v>
      </c>
    </row>
    <row r="10" customFormat="false" ht="15" hidden="false" customHeight="false" outlineLevel="0" collapsed="false">
      <c r="A10" s="7" t="n">
        <v>0.25</v>
      </c>
      <c r="B10" s="7" t="n">
        <v>0.291666666666667</v>
      </c>
      <c r="C10" s="17" t="n">
        <f aca="false">IF(OR(A10="",B10=""),"",(B10-A10)*1440)</f>
        <v>60</v>
      </c>
      <c r="D10" s="26" t="s">
        <v>104</v>
      </c>
      <c r="E10" s="19" t="s">
        <v>117</v>
      </c>
      <c r="F10" s="22" t="s">
        <v>377</v>
      </c>
    </row>
    <row r="11" customFormat="false" ht="15" hidden="false" customHeight="false" outlineLevel="0" collapsed="false">
      <c r="A11" s="7" t="n">
        <v>0.291666666666667</v>
      </c>
      <c r="B11" s="7" t="n">
        <v>0.298611111111111</v>
      </c>
      <c r="C11" s="17" t="n">
        <f aca="false">IF(OR(A11="",B11=""),"",(B11-A11)*1440)</f>
        <v>10</v>
      </c>
      <c r="D11" s="21" t="s">
        <v>69</v>
      </c>
      <c r="E11" s="19" t="s">
        <v>119</v>
      </c>
      <c r="F11" s="22" t="s">
        <v>378</v>
      </c>
    </row>
    <row r="12" customFormat="false" ht="15" hidden="false" customHeight="false" outlineLevel="0" collapsed="false">
      <c r="A12" s="7" t="n">
        <v>0.298611111111111</v>
      </c>
      <c r="B12" s="7" t="n">
        <v>0.333333333333333</v>
      </c>
      <c r="C12" s="17" t="n">
        <f aca="false">IF(OR(A12="",B12=""),"",(B12-A12)*1440)</f>
        <v>50</v>
      </c>
      <c r="D12" s="25" t="s">
        <v>80</v>
      </c>
      <c r="E12" s="19" t="s">
        <v>121</v>
      </c>
      <c r="F12" s="22" t="s">
        <v>122</v>
      </c>
    </row>
    <row r="13" customFormat="false" ht="15" hidden="false" customHeight="false" outlineLevel="0" collapsed="false">
      <c r="A13" s="7" t="n">
        <v>0.333333333333333</v>
      </c>
      <c r="B13" s="7" t="n">
        <v>0.347222222222222</v>
      </c>
      <c r="C13" s="17" t="n">
        <f aca="false">IF(OR(A13="",B13=""),"",(B13-A13)*1440)</f>
        <v>20</v>
      </c>
      <c r="D13" s="21" t="s">
        <v>69</v>
      </c>
      <c r="E13" s="19" t="s">
        <v>70</v>
      </c>
      <c r="F13" s="22" t="s">
        <v>379</v>
      </c>
    </row>
    <row r="14" customFormat="false" ht="15" hidden="false" customHeight="false" outlineLevel="0" collapsed="false">
      <c r="A14" s="7" t="n">
        <v>0.347222222222222</v>
      </c>
      <c r="B14" s="7" t="n">
        <v>0.388888888888889</v>
      </c>
      <c r="C14" s="17" t="n">
        <f aca="false">IF(OR(A14="",B14=""),"",(B14-A14)*1440)</f>
        <v>60</v>
      </c>
      <c r="D14" s="25" t="s">
        <v>80</v>
      </c>
      <c r="E14" s="19" t="s">
        <v>124</v>
      </c>
      <c r="F14" s="22" t="s">
        <v>380</v>
      </c>
    </row>
    <row r="15" customFormat="false" ht="15" hidden="false" customHeight="false" outlineLevel="0" collapsed="false">
      <c r="A15" s="7" t="n">
        <v>0.388888888888889</v>
      </c>
      <c r="B15" s="7" t="n">
        <v>0.409722222222222</v>
      </c>
      <c r="C15" s="17" t="n">
        <f aca="false">IF(OR(A15="",B15=""),"",(B15-A15)*1440)</f>
        <v>30</v>
      </c>
      <c r="D15" s="21" t="s">
        <v>69</v>
      </c>
      <c r="E15" s="19" t="s">
        <v>70</v>
      </c>
      <c r="F15" s="22" t="s">
        <v>381</v>
      </c>
    </row>
    <row r="16" customFormat="false" ht="15" hidden="false" customHeight="false" outlineLevel="0" collapsed="false">
      <c r="A16" s="7" t="n">
        <v>0.409722222222222</v>
      </c>
      <c r="B16" s="7" t="n">
        <v>0.451388888888889</v>
      </c>
      <c r="C16" s="17" t="n">
        <f aca="false">IF(OR(A16="",B16=""),"",(B16-A16)*1440)</f>
        <v>60</v>
      </c>
      <c r="D16" s="25" t="s">
        <v>80</v>
      </c>
      <c r="E16" s="19" t="s">
        <v>128</v>
      </c>
      <c r="F16" s="22" t="s">
        <v>382</v>
      </c>
    </row>
    <row r="17" customFormat="false" ht="15" hidden="false" customHeight="false" outlineLevel="0" collapsed="false">
      <c r="A17" s="7" t="n">
        <v>0.451388888888889</v>
      </c>
      <c r="B17" s="7" t="n">
        <v>0.472222222222222</v>
      </c>
      <c r="C17" s="17" t="n">
        <f aca="false">IF(OR(A17="",B17=""),"",(B17-A17)*1440)</f>
        <v>30</v>
      </c>
      <c r="D17" s="21" t="s">
        <v>69</v>
      </c>
      <c r="E17" s="19" t="s">
        <v>70</v>
      </c>
      <c r="F17" s="22" t="s">
        <v>383</v>
      </c>
    </row>
    <row r="18" customFormat="false" ht="15" hidden="false" customHeight="false" outlineLevel="0" collapsed="false">
      <c r="A18" s="7" t="n">
        <v>0.472222222222222</v>
      </c>
      <c r="B18" s="7" t="n">
        <v>0.5</v>
      </c>
      <c r="C18" s="17" t="n">
        <f aca="false">IF(OR(A18="",B18=""),"",(B18-A18)*1440)</f>
        <v>40</v>
      </c>
      <c r="D18" s="26" t="s">
        <v>104</v>
      </c>
      <c r="E18" s="19" t="s">
        <v>132</v>
      </c>
      <c r="F18" s="20" t="s">
        <v>384</v>
      </c>
    </row>
    <row r="19" customFormat="false" ht="15" hidden="false" customHeight="false" outlineLevel="0" collapsed="false">
      <c r="A19" s="7" t="n">
        <v>0.5</v>
      </c>
      <c r="B19" s="7" t="n">
        <v>0.583333333333333</v>
      </c>
      <c r="C19" s="17" t="n">
        <f aca="false">IF(OR(A19="",B19=""),"",(B19-A19)*1440)</f>
        <v>120</v>
      </c>
      <c r="D19" s="25" t="s">
        <v>80</v>
      </c>
      <c r="E19" s="19" t="s">
        <v>135</v>
      </c>
      <c r="F19" s="22" t="s">
        <v>385</v>
      </c>
    </row>
    <row r="20" customFormat="false" ht="15" hidden="false" customHeight="false" outlineLevel="0" collapsed="false">
      <c r="A20" s="7" t="n">
        <v>0.583333333333333</v>
      </c>
      <c r="B20" s="7" t="n">
        <v>0.625</v>
      </c>
      <c r="C20" s="17" t="n">
        <f aca="false">IF(OR(A20="",B20=""),"",(B20-A20)*1440)</f>
        <v>60</v>
      </c>
      <c r="D20" s="21" t="s">
        <v>69</v>
      </c>
      <c r="E20" s="19" t="s">
        <v>70</v>
      </c>
      <c r="F20" s="22" t="s">
        <v>386</v>
      </c>
    </row>
    <row r="21" customFormat="false" ht="15" hidden="false" customHeight="false" outlineLevel="0" collapsed="false">
      <c r="A21" s="7" t="n">
        <v>0.625</v>
      </c>
      <c r="B21" s="7" t="n">
        <v>0.770833333333333</v>
      </c>
      <c r="C21" s="17" t="n">
        <f aca="false">IF(OR(A21="",B21=""),"",(B21-A21)*1440)</f>
        <v>210</v>
      </c>
      <c r="D21" s="25" t="s">
        <v>80</v>
      </c>
      <c r="E21" s="19" t="s">
        <v>139</v>
      </c>
      <c r="F21" s="22" t="s">
        <v>387</v>
      </c>
    </row>
    <row r="22" customFormat="false" ht="15" hidden="false" customHeight="false" outlineLevel="0" collapsed="false">
      <c r="A22" s="7" t="n">
        <v>0.770833333333333</v>
      </c>
      <c r="B22" s="7" t="n">
        <v>0.805555555555556</v>
      </c>
      <c r="C22" s="17" t="n">
        <f aca="false">IF(OR(A22="",B22=""),"",(B22-A22)*1440)</f>
        <v>50</v>
      </c>
      <c r="D22" s="21" t="s">
        <v>69</v>
      </c>
      <c r="E22" s="19" t="s">
        <v>70</v>
      </c>
      <c r="F22" s="22" t="s">
        <v>388</v>
      </c>
    </row>
    <row r="23" customFormat="false" ht="15" hidden="false" customHeight="false" outlineLevel="0" collapsed="false">
      <c r="A23" s="7" t="n">
        <v>0.805555555555556</v>
      </c>
      <c r="B23" s="7" t="n">
        <v>0.819444444444444</v>
      </c>
      <c r="C23" s="17" t="n">
        <f aca="false">IF(OR(A23="",B23=""),"",(B23-A23)*1440)</f>
        <v>20</v>
      </c>
      <c r="D23" s="18" t="s">
        <v>66</v>
      </c>
      <c r="E23" s="24" t="s">
        <v>102</v>
      </c>
      <c r="F23" s="22" t="s">
        <v>389</v>
      </c>
    </row>
    <row r="24" customFormat="false" ht="15" hidden="false" customHeight="false" outlineLevel="0" collapsed="false">
      <c r="A24" s="7" t="n">
        <v>0.819444444444444</v>
      </c>
      <c r="B24" s="7" t="n">
        <v>0.822916666666667</v>
      </c>
      <c r="C24" s="17" t="n">
        <f aca="false">IF(OR(A24="",B24=""),"",(B24-A24)*1440)</f>
        <v>5</v>
      </c>
      <c r="D24" s="21" t="s">
        <v>69</v>
      </c>
      <c r="E24" s="19" t="s">
        <v>70</v>
      </c>
      <c r="F24" s="22" t="s">
        <v>390</v>
      </c>
    </row>
    <row r="25" customFormat="false" ht="15" hidden="false" customHeight="false" outlineLevel="0" collapsed="false">
      <c r="A25" s="7" t="n">
        <v>0.822916666666667</v>
      </c>
      <c r="B25" s="7" t="n">
        <v>0.864583333333333</v>
      </c>
      <c r="C25" s="17" t="n">
        <f aca="false">IF(OR(A25="",B25=""),"",(B25-A25)*1440)</f>
        <v>60</v>
      </c>
      <c r="D25" s="26" t="s">
        <v>104</v>
      </c>
      <c r="E25" s="19" t="s">
        <v>145</v>
      </c>
      <c r="F25" s="20" t="s">
        <v>391</v>
      </c>
    </row>
    <row r="26" customFormat="false" ht="15" hidden="false" customHeight="false" outlineLevel="0" collapsed="false">
      <c r="A26" s="7" t="n">
        <v>0.864583333333333</v>
      </c>
      <c r="B26" s="7" t="n">
        <v>0.875</v>
      </c>
      <c r="C26" s="17" t="n">
        <f aca="false">IF(OR(A26="",B26=""),"",(B26-A26)*1440)</f>
        <v>15</v>
      </c>
      <c r="D26" s="26" t="s">
        <v>104</v>
      </c>
      <c r="E26" s="19" t="s">
        <v>148</v>
      </c>
      <c r="F26" s="22" t="s">
        <v>149</v>
      </c>
    </row>
    <row r="27" customFormat="false" ht="15" hidden="false" customHeight="false" outlineLevel="0" collapsed="false">
      <c r="A27" s="7" t="n">
        <v>0.875</v>
      </c>
      <c r="B27" s="7" t="n">
        <v>0.878472222222222</v>
      </c>
      <c r="C27" s="17" t="n">
        <f aca="false">IF(OR(A27="",B27=""),"",(B27-A27)*1440)</f>
        <v>5</v>
      </c>
      <c r="D27" s="21" t="s">
        <v>69</v>
      </c>
      <c r="E27" s="19" t="s">
        <v>70</v>
      </c>
      <c r="F27" s="22" t="s">
        <v>388</v>
      </c>
    </row>
    <row r="28" customFormat="false" ht="15" hidden="false" customHeight="false" outlineLevel="0" collapsed="false">
      <c r="A28" s="6"/>
      <c r="B28" s="6"/>
      <c r="C28" s="17" t="str">
        <f aca="false">IF(OR(A28="",B28=""),"",(B28-A28)*1440)</f>
        <v/>
      </c>
      <c r="D28" s="18" t="s">
        <v>66</v>
      </c>
      <c r="E28" s="19" t="s">
        <v>111</v>
      </c>
      <c r="F28" s="22" t="s">
        <v>392</v>
      </c>
    </row>
    <row r="30" customFormat="false" ht="15" hidden="false" customHeight="false" outlineLevel="0" collapsed="false">
      <c r="A30" s="27" t="s">
        <v>374</v>
      </c>
      <c r="C30" s="28" t="str">
        <f aca="false">TEXT(MIN(A5:A28),"hh:mm")&amp;" ~ "&amp;TEXT(MAX(B5:B28),"hh:mm")</f>
        <v>04:35 ~ 21:05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27.75" hidden="false" customHeight="true" outlineLevel="0" collapsed="false">
      <c r="A1" s="14" t="s">
        <v>393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2" t="s">
        <v>22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360</v>
      </c>
    </row>
    <row r="5" customFormat="false" ht="15" hidden="false" customHeight="false" outlineLevel="0" collapsed="false">
      <c r="A5" s="6"/>
      <c r="B5" s="6"/>
      <c r="C5" s="17" t="str">
        <f aca="false">IF(OR(A5="",B5=""),"",(B5-A5)*1440)</f>
        <v/>
      </c>
      <c r="D5" s="18" t="s">
        <v>66</v>
      </c>
      <c r="E5" s="19" t="s">
        <v>151</v>
      </c>
      <c r="F5" s="22" t="s">
        <v>18</v>
      </c>
    </row>
    <row r="6" customFormat="false" ht="15" hidden="false" customHeight="false" outlineLevel="0" collapsed="false">
      <c r="A6" s="7" t="n">
        <v>0.350694444444444</v>
      </c>
      <c r="B6" s="7" t="n">
        <v>0.351388888888889</v>
      </c>
      <c r="C6" s="17" t="n">
        <f aca="false">IF(OR(A6="",B6=""),"",(B6-A6)*1440)</f>
        <v>1</v>
      </c>
      <c r="D6" s="21" t="s">
        <v>69</v>
      </c>
      <c r="E6" s="19" t="s">
        <v>70</v>
      </c>
      <c r="F6" s="20"/>
    </row>
    <row r="7" customFormat="false" ht="15" hidden="false" customHeight="false" outlineLevel="0" collapsed="false">
      <c r="A7" s="7" t="n">
        <v>0.351388888888889</v>
      </c>
      <c r="B7" s="7" t="n">
        <v>0.357638888888889</v>
      </c>
      <c r="C7" s="17" t="n">
        <f aca="false">IF(OR(A7="",B7=""),"",(B7-A7)*1440)</f>
        <v>9</v>
      </c>
      <c r="D7" s="26" t="s">
        <v>104</v>
      </c>
      <c r="E7" s="19" t="s">
        <v>152</v>
      </c>
      <c r="F7" s="22" t="s">
        <v>394</v>
      </c>
    </row>
    <row r="8" customFormat="false" ht="15" hidden="false" customHeight="false" outlineLevel="0" collapsed="false">
      <c r="A8" s="7" t="n">
        <v>0.357638888888889</v>
      </c>
      <c r="B8" s="7" t="n">
        <v>0.375</v>
      </c>
      <c r="C8" s="17" t="n">
        <f aca="false">IF(OR(A8="",B8=""),"",(B8-A8)*1440)</f>
        <v>25</v>
      </c>
      <c r="D8" s="21" t="s">
        <v>69</v>
      </c>
      <c r="E8" s="19" t="s">
        <v>70</v>
      </c>
      <c r="F8" s="22" t="s">
        <v>395</v>
      </c>
    </row>
    <row r="9" customFormat="false" ht="26.85" hidden="false" customHeight="false" outlineLevel="0" collapsed="false">
      <c r="A9" s="7" t="n">
        <v>0.375</v>
      </c>
      <c r="B9" s="7" t="n">
        <v>0.395833333333333</v>
      </c>
      <c r="C9" s="17" t="n">
        <f aca="false">IF(OR(A9="",B9=""),"",(B9-A9)*1440)</f>
        <v>30</v>
      </c>
      <c r="D9" s="23" t="s">
        <v>73</v>
      </c>
      <c r="E9" s="19" t="s">
        <v>156</v>
      </c>
      <c r="F9" s="22" t="s">
        <v>396</v>
      </c>
    </row>
    <row r="10" customFormat="false" ht="29.85" hidden="false" customHeight="false" outlineLevel="0" collapsed="false">
      <c r="A10" s="7" t="n">
        <v>0.395833333333333</v>
      </c>
      <c r="B10" s="7" t="n">
        <v>0.4375</v>
      </c>
      <c r="C10" s="17" t="n">
        <f aca="false">IF(OR(A10="",B10=""),"",(B10-A10)*1440)</f>
        <v>60</v>
      </c>
      <c r="D10" s="25" t="s">
        <v>80</v>
      </c>
      <c r="E10" s="19" t="s">
        <v>159</v>
      </c>
      <c r="F10" s="22" t="s">
        <v>397</v>
      </c>
    </row>
    <row r="11" customFormat="false" ht="15" hidden="false" customHeight="false" outlineLevel="0" collapsed="false">
      <c r="A11" s="7" t="n">
        <v>0.4375</v>
      </c>
      <c r="B11" s="7" t="n">
        <v>0.479166666666667</v>
      </c>
      <c r="C11" s="17" t="n">
        <f aca="false">IF(OR(A11="",B11=""),"",(B11-A11)*1440)</f>
        <v>60</v>
      </c>
      <c r="D11" s="25" t="s">
        <v>80</v>
      </c>
      <c r="E11" s="19" t="s">
        <v>161</v>
      </c>
      <c r="F11" s="22" t="s">
        <v>157</v>
      </c>
    </row>
    <row r="12" customFormat="false" ht="15" hidden="false" customHeight="false" outlineLevel="0" collapsed="false">
      <c r="A12" s="7" t="n">
        <v>0.479166666666667</v>
      </c>
      <c r="B12" s="7" t="n">
        <v>0.5</v>
      </c>
      <c r="C12" s="17" t="n">
        <f aca="false">IF(OR(A12="",B12=""),"",(B12-A12)*1440)</f>
        <v>30</v>
      </c>
      <c r="D12" s="25" t="s">
        <v>80</v>
      </c>
      <c r="E12" s="19" t="s">
        <v>162</v>
      </c>
      <c r="F12" s="22" t="s">
        <v>398</v>
      </c>
    </row>
    <row r="13" customFormat="false" ht="15" hidden="false" customHeight="false" outlineLevel="0" collapsed="false">
      <c r="A13" s="7" t="n">
        <v>0.5</v>
      </c>
      <c r="B13" s="7" t="n">
        <v>0.520833333333333</v>
      </c>
      <c r="C13" s="17" t="n">
        <f aca="false">IF(OR(A13="",B13=""),"",(B13-A13)*1440)</f>
        <v>30</v>
      </c>
      <c r="D13" s="25" t="s">
        <v>80</v>
      </c>
      <c r="E13" s="19" t="s">
        <v>164</v>
      </c>
      <c r="F13" s="22" t="s">
        <v>398</v>
      </c>
    </row>
    <row r="14" customFormat="false" ht="15" hidden="false" customHeight="false" outlineLevel="0" collapsed="false">
      <c r="A14" s="7" t="n">
        <v>0.520833333333333</v>
      </c>
      <c r="B14" s="7" t="n">
        <v>0.541666666666667</v>
      </c>
      <c r="C14" s="17" t="n">
        <f aca="false">IF(OR(A14="",B14=""),"",(B14-A14)*1440)</f>
        <v>30</v>
      </c>
      <c r="D14" s="23" t="s">
        <v>73</v>
      </c>
      <c r="E14" s="19" t="s">
        <v>165</v>
      </c>
      <c r="F14" s="22" t="s">
        <v>157</v>
      </c>
    </row>
    <row r="15" customFormat="false" ht="15" hidden="false" customHeight="false" outlineLevel="0" collapsed="false">
      <c r="A15" s="7" t="n">
        <v>0.541666666666667</v>
      </c>
      <c r="B15" s="7" t="n">
        <v>0.583333333333333</v>
      </c>
      <c r="C15" s="17" t="n">
        <f aca="false">IF(OR(A15="",B15=""),"",(B15-A15)*1440)</f>
        <v>60</v>
      </c>
      <c r="D15" s="26" t="s">
        <v>104</v>
      </c>
      <c r="E15" s="19" t="s">
        <v>166</v>
      </c>
      <c r="F15" s="22" t="s">
        <v>399</v>
      </c>
    </row>
    <row r="16" customFormat="false" ht="15" hidden="false" customHeight="false" outlineLevel="0" collapsed="false">
      <c r="A16" s="7" t="n">
        <v>0.583333333333333</v>
      </c>
      <c r="B16" s="7" t="n">
        <v>0.614583333333333</v>
      </c>
      <c r="C16" s="17" t="n">
        <f aca="false">IF(OR(A16="",B16=""),"",(B16-A16)*1440)</f>
        <v>45</v>
      </c>
      <c r="D16" s="21" t="s">
        <v>69</v>
      </c>
      <c r="E16" s="19" t="s">
        <v>70</v>
      </c>
      <c r="F16" s="22" t="s">
        <v>400</v>
      </c>
    </row>
    <row r="17" customFormat="false" ht="15" hidden="false" customHeight="false" outlineLevel="0" collapsed="false">
      <c r="A17" s="7" t="n">
        <v>0.614583333333333</v>
      </c>
      <c r="B17" s="7" t="n">
        <v>0.621527777777778</v>
      </c>
      <c r="C17" s="17" t="n">
        <f aca="false">IF(OR(A17="",B17=""),"",(B17-A17)*1440)</f>
        <v>10</v>
      </c>
      <c r="D17" s="21" t="s">
        <v>69</v>
      </c>
      <c r="E17" s="19" t="s">
        <v>169</v>
      </c>
      <c r="F17" s="22" t="s">
        <v>401</v>
      </c>
    </row>
    <row r="18" customFormat="false" ht="15" hidden="false" customHeight="false" outlineLevel="0" collapsed="false">
      <c r="A18" s="7" t="n">
        <v>0.621527777777778</v>
      </c>
      <c r="B18" s="7" t="n">
        <v>0.649305555555556</v>
      </c>
      <c r="C18" s="17" t="n">
        <f aca="false">IF(OR(A18="",B18=""),"",(B18-A18)*1440)</f>
        <v>40</v>
      </c>
      <c r="D18" s="25" t="s">
        <v>80</v>
      </c>
      <c r="E18" s="19" t="s">
        <v>171</v>
      </c>
      <c r="F18" s="22" t="s">
        <v>402</v>
      </c>
    </row>
    <row r="19" customFormat="false" ht="15" hidden="false" customHeight="false" outlineLevel="0" collapsed="false">
      <c r="A19" s="7" t="n">
        <v>0.649305555555556</v>
      </c>
      <c r="B19" s="7" t="n">
        <v>0.690972222222222</v>
      </c>
      <c r="C19" s="17" t="n">
        <f aca="false">IF(OR(A19="",B19=""),"",(B19-A19)*1440)</f>
        <v>60</v>
      </c>
      <c r="D19" s="25" t="s">
        <v>80</v>
      </c>
      <c r="E19" s="19" t="s">
        <v>174</v>
      </c>
      <c r="F19" s="22" t="s">
        <v>403</v>
      </c>
    </row>
    <row r="20" customFormat="false" ht="15" hidden="false" customHeight="false" outlineLevel="0" collapsed="false">
      <c r="A20" s="7" t="n">
        <v>0.690972222222222</v>
      </c>
      <c r="B20" s="7" t="n">
        <v>0.701388888888889</v>
      </c>
      <c r="C20" s="17" t="n">
        <f aca="false">IF(OR(A20="",B20=""),"",(B20-A20)*1440)</f>
        <v>15</v>
      </c>
      <c r="D20" s="25" t="s">
        <v>80</v>
      </c>
      <c r="E20" s="19" t="s">
        <v>177</v>
      </c>
      <c r="F20" s="20"/>
    </row>
    <row r="21" customFormat="false" ht="15" hidden="false" customHeight="false" outlineLevel="0" collapsed="false">
      <c r="A21" s="7" t="n">
        <v>0.701388888888889</v>
      </c>
      <c r="B21" s="7" t="n">
        <v>0.732638888888889</v>
      </c>
      <c r="C21" s="17" t="n">
        <f aca="false">IF(OR(A21="",B21=""),"",(B21-A21)*1440)</f>
        <v>45</v>
      </c>
      <c r="D21" s="25" t="s">
        <v>80</v>
      </c>
      <c r="E21" s="19" t="s">
        <v>178</v>
      </c>
      <c r="F21" s="22" t="s">
        <v>404</v>
      </c>
    </row>
    <row r="22" customFormat="false" ht="15" hidden="false" customHeight="false" outlineLevel="0" collapsed="false">
      <c r="A22" s="7" t="n">
        <v>0.732638888888889</v>
      </c>
      <c r="B22" s="7" t="n">
        <v>0.743055555555556</v>
      </c>
      <c r="C22" s="17" t="n">
        <f aca="false">IF(OR(A22="",B22=""),"",(B22-A22)*1440)</f>
        <v>15</v>
      </c>
      <c r="D22" s="25" t="s">
        <v>80</v>
      </c>
      <c r="E22" s="19" t="s">
        <v>181</v>
      </c>
      <c r="F22" s="20"/>
    </row>
    <row r="23" customFormat="false" ht="15" hidden="false" customHeight="false" outlineLevel="0" collapsed="false">
      <c r="A23" s="7" t="n">
        <v>0.743055555555556</v>
      </c>
      <c r="B23" s="7" t="n">
        <v>0.75</v>
      </c>
      <c r="C23" s="17" t="n">
        <f aca="false">IF(OR(A23="",B23=""),"",(B23-A23)*1440)</f>
        <v>10</v>
      </c>
      <c r="D23" s="21" t="s">
        <v>69</v>
      </c>
      <c r="E23" s="19" t="s">
        <v>70</v>
      </c>
      <c r="F23" s="22" t="s">
        <v>405</v>
      </c>
    </row>
    <row r="24" customFormat="false" ht="15" hidden="false" customHeight="false" outlineLevel="0" collapsed="false">
      <c r="A24" s="7" t="n">
        <v>0.75</v>
      </c>
      <c r="B24" s="7" t="n">
        <v>0.770833333333333</v>
      </c>
      <c r="C24" s="17" t="n">
        <f aca="false">IF(OR(A24="",B24=""),"",(B24-A24)*1440)</f>
        <v>30</v>
      </c>
      <c r="D24" s="25" t="s">
        <v>80</v>
      </c>
      <c r="E24" s="19" t="s">
        <v>183</v>
      </c>
      <c r="F24" s="22" t="s">
        <v>184</v>
      </c>
    </row>
    <row r="25" customFormat="false" ht="15" hidden="false" customHeight="false" outlineLevel="0" collapsed="false">
      <c r="A25" s="7" t="n">
        <v>0.770833333333333</v>
      </c>
      <c r="B25" s="7" t="n">
        <v>0.833333333333333</v>
      </c>
      <c r="C25" s="17" t="n">
        <f aca="false">IF(OR(A25="",B25=""),"",(B25-A25)*1440)</f>
        <v>90</v>
      </c>
      <c r="D25" s="26" t="s">
        <v>104</v>
      </c>
      <c r="E25" s="19" t="s">
        <v>185</v>
      </c>
      <c r="F25" s="22" t="s">
        <v>406</v>
      </c>
    </row>
    <row r="26" customFormat="false" ht="15" hidden="false" customHeight="false" outlineLevel="0" collapsed="false">
      <c r="A26" s="7" t="n">
        <v>0.833333333333333</v>
      </c>
      <c r="B26" s="7" t="n">
        <v>0.854166666666667</v>
      </c>
      <c r="C26" s="17" t="n">
        <f aca="false">IF(OR(A26="",B26=""),"",(B26-A26)*1440)</f>
        <v>30</v>
      </c>
      <c r="D26" s="21" t="s">
        <v>69</v>
      </c>
      <c r="E26" s="19" t="s">
        <v>70</v>
      </c>
      <c r="F26" s="22" t="s">
        <v>388</v>
      </c>
    </row>
    <row r="27" customFormat="false" ht="15" hidden="false" customHeight="false" outlineLevel="0" collapsed="false">
      <c r="A27" s="6"/>
      <c r="B27" s="6"/>
      <c r="C27" s="17" t="str">
        <f aca="false">IF(OR(A27="",B27=""),"",(B27-A27)*1440)</f>
        <v/>
      </c>
      <c r="D27" s="18" t="s">
        <v>66</v>
      </c>
      <c r="E27" s="19" t="s">
        <v>111</v>
      </c>
      <c r="F27" s="22" t="s">
        <v>407</v>
      </c>
    </row>
    <row r="29" customFormat="false" ht="15" hidden="false" customHeight="false" outlineLevel="0" collapsed="false">
      <c r="A29" s="27" t="s">
        <v>374</v>
      </c>
      <c r="C29" s="28" t="str">
        <f aca="false">TEXT(MIN(A5:A27),"hh:mm")&amp;" ~ "&amp;TEXT(MAX(B5:B27),"hh:mm")</f>
        <v>08:25 ~ 20:30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27.75" hidden="false" customHeight="true" outlineLevel="0" collapsed="false">
      <c r="A1" s="14" t="s">
        <v>408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2" t="s">
        <v>26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360</v>
      </c>
    </row>
    <row r="5" customFormat="false" ht="15" hidden="false" customHeight="false" outlineLevel="0" collapsed="false">
      <c r="A5" s="6"/>
      <c r="B5" s="6"/>
      <c r="C5" s="17" t="str">
        <f aca="false">IF(OR(A5="",B5=""),"",(B5-A5)*1440)</f>
        <v/>
      </c>
      <c r="D5" s="18" t="s">
        <v>66</v>
      </c>
      <c r="E5" s="19" t="s">
        <v>67</v>
      </c>
      <c r="F5" s="22" t="s">
        <v>18</v>
      </c>
    </row>
    <row r="6" customFormat="false" ht="15" hidden="false" customHeight="false" outlineLevel="0" collapsed="false">
      <c r="A6" s="7" t="n">
        <v>0.194444444444444</v>
      </c>
      <c r="B6" s="7" t="n">
        <v>0.197916666666667</v>
      </c>
      <c r="C6" s="17" t="n">
        <f aca="false">IF(OR(A6="",B6=""),"",(B6-A6)*1440)</f>
        <v>5</v>
      </c>
      <c r="D6" s="21" t="s">
        <v>69</v>
      </c>
      <c r="E6" s="19" t="s">
        <v>70</v>
      </c>
      <c r="F6" s="22" t="s">
        <v>409</v>
      </c>
    </row>
    <row r="7" customFormat="false" ht="15" hidden="false" customHeight="false" outlineLevel="0" collapsed="false">
      <c r="A7" s="7" t="n">
        <v>0.197916666666667</v>
      </c>
      <c r="B7" s="7" t="n">
        <v>0.21875</v>
      </c>
      <c r="C7" s="17" t="n">
        <f aca="false">IF(OR(A7="",B7=""),"",(B7-A7)*1440)</f>
        <v>30</v>
      </c>
      <c r="D7" s="25" t="s">
        <v>80</v>
      </c>
      <c r="E7" s="19" t="s">
        <v>190</v>
      </c>
      <c r="F7" s="22" t="s">
        <v>191</v>
      </c>
    </row>
    <row r="8" customFormat="false" ht="15" hidden="false" customHeight="false" outlineLevel="0" collapsed="false">
      <c r="A8" s="7" t="n">
        <v>0.21875</v>
      </c>
      <c r="B8" s="7" t="n">
        <v>0.222222222222222</v>
      </c>
      <c r="C8" s="17" t="n">
        <f aca="false">IF(OR(A8="",B8=""),"",(B8-A8)*1440)</f>
        <v>5</v>
      </c>
      <c r="D8" s="21" t="s">
        <v>69</v>
      </c>
      <c r="E8" s="19" t="s">
        <v>70</v>
      </c>
      <c r="F8" s="22" t="s">
        <v>388</v>
      </c>
    </row>
    <row r="9" customFormat="false" ht="15" hidden="false" customHeight="false" outlineLevel="0" collapsed="false">
      <c r="A9" s="7" t="n">
        <v>0.222222222222222</v>
      </c>
      <c r="B9" s="7" t="n">
        <v>0.347222222222222</v>
      </c>
      <c r="C9" s="17" t="n">
        <f aca="false">IF(OR(A9="",B9=""),"",(B9-A9)*1440)</f>
        <v>180</v>
      </c>
      <c r="D9" s="18" t="s">
        <v>66</v>
      </c>
      <c r="E9" s="19" t="s">
        <v>116</v>
      </c>
      <c r="F9" s="22" t="s">
        <v>18</v>
      </c>
    </row>
    <row r="10" customFormat="false" ht="15" hidden="false" customHeight="false" outlineLevel="0" collapsed="false">
      <c r="A10" s="7" t="n">
        <v>0.347222222222222</v>
      </c>
      <c r="B10" s="7" t="n">
        <v>0.350694444444444</v>
      </c>
      <c r="C10" s="17" t="n">
        <f aca="false">IF(OR(A10="",B10=""),"",(B10-A10)*1440)</f>
        <v>5</v>
      </c>
      <c r="D10" s="21" t="s">
        <v>69</v>
      </c>
      <c r="E10" s="19" t="s">
        <v>70</v>
      </c>
      <c r="F10" s="22" t="s">
        <v>410</v>
      </c>
    </row>
    <row r="11" customFormat="false" ht="15" hidden="false" customHeight="false" outlineLevel="0" collapsed="false">
      <c r="A11" s="7" t="n">
        <v>0.350694444444444</v>
      </c>
      <c r="B11" s="7" t="n">
        <v>0.385416666666667</v>
      </c>
      <c r="C11" s="17" t="n">
        <f aca="false">IF(OR(A11="",B11=""),"",(B11-A11)*1440)</f>
        <v>50</v>
      </c>
      <c r="D11" s="26" t="s">
        <v>104</v>
      </c>
      <c r="E11" s="19" t="s">
        <v>193</v>
      </c>
      <c r="F11" s="22" t="s">
        <v>194</v>
      </c>
    </row>
    <row r="12" customFormat="false" ht="15" hidden="false" customHeight="false" outlineLevel="0" collapsed="false">
      <c r="A12" s="7" t="n">
        <v>0.385416666666667</v>
      </c>
      <c r="B12" s="7" t="n">
        <v>0.416666666666667</v>
      </c>
      <c r="C12" s="17" t="n">
        <f aca="false">IF(OR(A12="",B12=""),"",(B12-A12)*1440)</f>
        <v>45</v>
      </c>
      <c r="D12" s="21" t="s">
        <v>69</v>
      </c>
      <c r="E12" s="19" t="s">
        <v>70</v>
      </c>
      <c r="F12" s="22" t="s">
        <v>411</v>
      </c>
    </row>
    <row r="13" customFormat="false" ht="15" hidden="false" customHeight="false" outlineLevel="0" collapsed="false">
      <c r="A13" s="7" t="n">
        <v>0.416666666666667</v>
      </c>
      <c r="B13" s="7" t="n">
        <v>0.4375</v>
      </c>
      <c r="C13" s="17" t="n">
        <f aca="false">IF(OR(A13="",B13=""),"",(B13-A13)*1440)</f>
        <v>30</v>
      </c>
      <c r="D13" s="25" t="s">
        <v>80</v>
      </c>
      <c r="E13" s="19" t="s">
        <v>196</v>
      </c>
      <c r="F13" s="22" t="s">
        <v>197</v>
      </c>
    </row>
    <row r="14" customFormat="false" ht="15" hidden="false" customHeight="false" outlineLevel="0" collapsed="false">
      <c r="A14" s="7" t="n">
        <v>0.4375</v>
      </c>
      <c r="B14" s="7" t="n">
        <v>0.458333333333333</v>
      </c>
      <c r="C14" s="17" t="n">
        <f aca="false">IF(OR(A14="",B14=""),"",(B14-A14)*1440)</f>
        <v>30</v>
      </c>
      <c r="D14" s="25" t="s">
        <v>80</v>
      </c>
      <c r="E14" s="19" t="s">
        <v>198</v>
      </c>
      <c r="F14" s="22" t="s">
        <v>199</v>
      </c>
    </row>
    <row r="15" customFormat="false" ht="15" hidden="false" customHeight="false" outlineLevel="0" collapsed="false">
      <c r="A15" s="7" t="n">
        <v>0.458333333333333</v>
      </c>
      <c r="B15" s="7" t="n">
        <v>0.479166666666667</v>
      </c>
      <c r="C15" s="17" t="n">
        <f aca="false">IF(OR(A15="",B15=""),"",(B15-A15)*1440)</f>
        <v>30</v>
      </c>
      <c r="D15" s="26" t="s">
        <v>104</v>
      </c>
      <c r="E15" s="19" t="s">
        <v>200</v>
      </c>
      <c r="F15" s="22" t="s">
        <v>412</v>
      </c>
    </row>
    <row r="16" customFormat="false" ht="15" hidden="false" customHeight="false" outlineLevel="0" collapsed="false">
      <c r="A16" s="7" t="n">
        <v>0.479166666666667</v>
      </c>
      <c r="B16" s="7" t="n">
        <v>0.5</v>
      </c>
      <c r="C16" s="17" t="n">
        <f aca="false">IF(OR(A16="",B16=""),"",(B16-A16)*1440)</f>
        <v>30</v>
      </c>
      <c r="D16" s="26" t="s">
        <v>104</v>
      </c>
      <c r="E16" s="19" t="s">
        <v>203</v>
      </c>
      <c r="F16" s="22" t="s">
        <v>204</v>
      </c>
    </row>
    <row r="17" customFormat="false" ht="15" hidden="false" customHeight="false" outlineLevel="0" collapsed="false">
      <c r="A17" s="7" t="n">
        <v>0.5</v>
      </c>
      <c r="B17" s="7" t="n">
        <v>0.503472222222222</v>
      </c>
      <c r="C17" s="17" t="n">
        <f aca="false">IF(OR(A17="",B17=""),"",(B17-A17)*1440)</f>
        <v>5</v>
      </c>
      <c r="D17" s="21" t="s">
        <v>69</v>
      </c>
      <c r="E17" s="19" t="s">
        <v>70</v>
      </c>
      <c r="F17" s="22" t="s">
        <v>413</v>
      </c>
    </row>
    <row r="18" customFormat="false" ht="15" hidden="false" customHeight="false" outlineLevel="0" collapsed="false">
      <c r="A18" s="7" t="n">
        <v>0.503472222222222</v>
      </c>
      <c r="B18" s="7" t="n">
        <v>0.541666666666667</v>
      </c>
      <c r="C18" s="17" t="n">
        <f aca="false">IF(OR(A18="",B18=""),"",(B18-A18)*1440)</f>
        <v>55</v>
      </c>
      <c r="D18" s="25" t="s">
        <v>80</v>
      </c>
      <c r="E18" s="19" t="s">
        <v>206</v>
      </c>
      <c r="F18" s="22" t="s">
        <v>414</v>
      </c>
    </row>
    <row r="19" customFormat="false" ht="15" hidden="false" customHeight="false" outlineLevel="0" collapsed="false">
      <c r="A19" s="7" t="n">
        <v>0.541666666666667</v>
      </c>
      <c r="B19" s="7" t="n">
        <v>0.545138888888889</v>
      </c>
      <c r="C19" s="17" t="n">
        <f aca="false">IF(OR(A19="",B19=""),"",(B19-A19)*1440)</f>
        <v>5</v>
      </c>
      <c r="D19" s="21" t="s">
        <v>69</v>
      </c>
      <c r="E19" s="19" t="s">
        <v>70</v>
      </c>
      <c r="F19" s="22" t="s">
        <v>415</v>
      </c>
    </row>
    <row r="20" customFormat="false" ht="15" hidden="false" customHeight="false" outlineLevel="0" collapsed="false">
      <c r="A20" s="7" t="n">
        <v>0.545138888888889</v>
      </c>
      <c r="B20" s="7" t="n">
        <v>0.555555555555556</v>
      </c>
      <c r="C20" s="17" t="n">
        <f aca="false">IF(OR(A20="",B20=""),"",(B20-A20)*1440)</f>
        <v>15</v>
      </c>
      <c r="D20" s="26" t="s">
        <v>104</v>
      </c>
      <c r="E20" s="19" t="s">
        <v>210</v>
      </c>
      <c r="F20" s="22" t="s">
        <v>416</v>
      </c>
    </row>
    <row r="21" customFormat="false" ht="15" hidden="false" customHeight="false" outlineLevel="0" collapsed="false">
      <c r="A21" s="7" t="n">
        <v>0.555555555555556</v>
      </c>
      <c r="B21" s="7" t="n">
        <v>0.559027777777778</v>
      </c>
      <c r="C21" s="17" t="n">
        <f aca="false">IF(OR(A21="",B21=""),"",(B21-A21)*1440)</f>
        <v>5</v>
      </c>
      <c r="D21" s="21" t="s">
        <v>69</v>
      </c>
      <c r="E21" s="19" t="s">
        <v>70</v>
      </c>
      <c r="F21" s="22" t="s">
        <v>417</v>
      </c>
    </row>
    <row r="22" customFormat="false" ht="15" hidden="false" customHeight="false" outlineLevel="0" collapsed="false">
      <c r="A22" s="7" t="n">
        <v>0.559027777777778</v>
      </c>
      <c r="B22" s="7" t="n">
        <v>0.569444444444444</v>
      </c>
      <c r="C22" s="17" t="n">
        <f aca="false">IF(OR(A22="",B22=""),"",(B22-A22)*1440)</f>
        <v>15</v>
      </c>
      <c r="D22" s="26" t="s">
        <v>104</v>
      </c>
      <c r="E22" s="19" t="s">
        <v>214</v>
      </c>
      <c r="F22" s="22" t="s">
        <v>418</v>
      </c>
    </row>
    <row r="23" customFormat="false" ht="15" hidden="false" customHeight="false" outlineLevel="0" collapsed="false">
      <c r="A23" s="7" t="n">
        <v>0.569444444444444</v>
      </c>
      <c r="B23" s="7" t="n">
        <v>0.611111111111111</v>
      </c>
      <c r="C23" s="17" t="n">
        <f aca="false">IF(OR(A23="",B23=""),"",(B23-A23)*1440)</f>
        <v>60</v>
      </c>
      <c r="D23" s="21" t="s">
        <v>69</v>
      </c>
      <c r="E23" s="19" t="s">
        <v>70</v>
      </c>
      <c r="F23" s="22" t="s">
        <v>386</v>
      </c>
    </row>
    <row r="24" customFormat="false" ht="15" hidden="false" customHeight="false" outlineLevel="0" collapsed="false">
      <c r="A24" s="7" t="n">
        <v>0.611111111111111</v>
      </c>
      <c r="B24" s="7" t="n">
        <v>0.645833333333333</v>
      </c>
      <c r="C24" s="17" t="n">
        <f aca="false">IF(OR(A24="",B24=""),"",(B24-A24)*1440)</f>
        <v>50</v>
      </c>
      <c r="D24" s="25" t="s">
        <v>80</v>
      </c>
      <c r="E24" s="19" t="s">
        <v>217</v>
      </c>
      <c r="F24" s="22" t="s">
        <v>419</v>
      </c>
    </row>
    <row r="25" customFormat="false" ht="15" hidden="false" customHeight="false" outlineLevel="0" collapsed="false">
      <c r="A25" s="7" t="n">
        <v>0.645833333333333</v>
      </c>
      <c r="B25" s="7" t="n">
        <v>0.697916666666667</v>
      </c>
      <c r="C25" s="17" t="n">
        <f aca="false">IF(OR(A25="",B25=""),"",(B25-A25)*1440)</f>
        <v>75</v>
      </c>
      <c r="D25" s="21" t="s">
        <v>69</v>
      </c>
      <c r="E25" s="19" t="s">
        <v>70</v>
      </c>
      <c r="F25" s="22" t="s">
        <v>420</v>
      </c>
    </row>
    <row r="26" customFormat="false" ht="15" hidden="false" customHeight="false" outlineLevel="0" collapsed="false">
      <c r="A26" s="7" t="n">
        <v>0.697916666666667</v>
      </c>
      <c r="B26" s="7" t="n">
        <v>0.708333333333333</v>
      </c>
      <c r="C26" s="17" t="n">
        <f aca="false">IF(OR(A26="",B26=""),"",(B26-A26)*1440)</f>
        <v>15</v>
      </c>
      <c r="D26" s="25" t="s">
        <v>80</v>
      </c>
      <c r="E26" s="19" t="s">
        <v>221</v>
      </c>
      <c r="F26" s="22" t="s">
        <v>222</v>
      </c>
    </row>
    <row r="27" customFormat="false" ht="15" hidden="false" customHeight="false" outlineLevel="0" collapsed="false">
      <c r="A27" s="7" t="n">
        <v>0.708333333333333</v>
      </c>
      <c r="B27" s="7" t="n">
        <v>0.711805555555556</v>
      </c>
      <c r="C27" s="17" t="n">
        <f aca="false">IF(OR(A27="",B27=""),"",(B27-A27)*1440)</f>
        <v>5</v>
      </c>
      <c r="D27" s="21" t="s">
        <v>69</v>
      </c>
      <c r="E27" s="19" t="s">
        <v>70</v>
      </c>
      <c r="F27" s="20"/>
    </row>
    <row r="28" customFormat="false" ht="15" hidden="false" customHeight="false" outlineLevel="0" collapsed="false">
      <c r="A28" s="7" t="n">
        <v>0.711805555555556</v>
      </c>
      <c r="B28" s="7" t="n">
        <v>0.71875</v>
      </c>
      <c r="C28" s="17" t="n">
        <f aca="false">IF(OR(A28="",B28=""),"",(B28-A28)*1440)</f>
        <v>10</v>
      </c>
      <c r="D28" s="18" t="s">
        <v>66</v>
      </c>
      <c r="E28" s="24" t="s">
        <v>102</v>
      </c>
      <c r="F28" s="20" t="s">
        <v>421</v>
      </c>
    </row>
    <row r="29" customFormat="false" ht="15" hidden="false" customHeight="false" outlineLevel="0" collapsed="false">
      <c r="A29" s="7" t="n">
        <v>0.71875</v>
      </c>
      <c r="B29" s="7" t="n">
        <v>0.791666666666667</v>
      </c>
      <c r="C29" s="17" t="n">
        <f aca="false">IF(OR(A29="",B29=""),"",(B29-A29)*1440)</f>
        <v>105</v>
      </c>
      <c r="D29" s="26" t="s">
        <v>104</v>
      </c>
      <c r="E29" s="19" t="s">
        <v>224</v>
      </c>
      <c r="F29" s="22" t="s">
        <v>225</v>
      </c>
    </row>
    <row r="30" customFormat="false" ht="15" hidden="false" customHeight="false" outlineLevel="0" collapsed="false">
      <c r="A30" s="6"/>
      <c r="B30" s="6"/>
      <c r="C30" s="17" t="str">
        <f aca="false">IF(OR(A30="",B30=""),"",(B30-A30)*1440)</f>
        <v/>
      </c>
      <c r="D30" s="18" t="s">
        <v>66</v>
      </c>
      <c r="E30" s="19" t="s">
        <v>111</v>
      </c>
      <c r="F30" s="20" t="s">
        <v>422</v>
      </c>
    </row>
    <row r="32" customFormat="false" ht="15" hidden="false" customHeight="false" outlineLevel="0" collapsed="false">
      <c r="A32" s="27" t="s">
        <v>374</v>
      </c>
      <c r="C32" s="28" t="str">
        <f aca="false">TEXT(MIN(A5:A30),"hh:mm")&amp;" ~ "&amp;TEXT(MAX(B5:B30),"hh:mm")</f>
        <v>04:40 ~ 19:00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27.75" hidden="false" customHeight="true" outlineLevel="0" collapsed="false">
      <c r="A1" s="14" t="s">
        <v>423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2" t="s">
        <v>31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360</v>
      </c>
    </row>
    <row r="5" customFormat="false" ht="15" hidden="false" customHeight="false" outlineLevel="0" collapsed="false">
      <c r="A5" s="6"/>
      <c r="B5" s="6"/>
      <c r="C5" s="17" t="str">
        <f aca="false">IF(OR(A5="",B5=""),"",(B5-A5)*1440)</f>
        <v/>
      </c>
      <c r="D5" s="18" t="s">
        <v>66</v>
      </c>
      <c r="E5" s="19" t="s">
        <v>67</v>
      </c>
      <c r="F5" s="20" t="s">
        <v>27</v>
      </c>
    </row>
    <row r="6" customFormat="false" ht="15" hidden="false" customHeight="false" outlineLevel="0" collapsed="false">
      <c r="A6" s="6"/>
      <c r="B6" s="6"/>
      <c r="C6" s="17" t="str">
        <f aca="false">IF(OR(A6="",B6=""),"",(B6-A6)*1440)</f>
        <v/>
      </c>
      <c r="D6" s="26" t="s">
        <v>104</v>
      </c>
      <c r="E6" s="19" t="s">
        <v>227</v>
      </c>
      <c r="F6" s="20" t="s">
        <v>27</v>
      </c>
    </row>
    <row r="7" customFormat="false" ht="15" hidden="false" customHeight="false" outlineLevel="0" collapsed="false">
      <c r="A7" s="7" t="n">
        <v>0.354166666666667</v>
      </c>
      <c r="B7" s="7" t="n">
        <v>0.371527777777778</v>
      </c>
      <c r="C7" s="17" t="n">
        <f aca="false">IF(OR(A7="",B7=""),"",(B7-A7)*1440)</f>
        <v>25</v>
      </c>
      <c r="D7" s="21" t="s">
        <v>69</v>
      </c>
      <c r="E7" s="19" t="s">
        <v>70</v>
      </c>
      <c r="F7" s="20"/>
    </row>
    <row r="8" customFormat="false" ht="15" hidden="false" customHeight="false" outlineLevel="0" collapsed="false">
      <c r="A8" s="7" t="n">
        <v>0.371527777777778</v>
      </c>
      <c r="B8" s="7" t="n">
        <v>0.381944444444444</v>
      </c>
      <c r="C8" s="17" t="n">
        <f aca="false">IF(OR(A8="",B8=""),"",(B8-A8)*1440)</f>
        <v>15</v>
      </c>
      <c r="D8" s="25" t="s">
        <v>80</v>
      </c>
      <c r="E8" s="19" t="s">
        <v>228</v>
      </c>
      <c r="F8" s="22" t="s">
        <v>229</v>
      </c>
    </row>
    <row r="9" customFormat="false" ht="15" hidden="false" customHeight="false" outlineLevel="0" collapsed="false">
      <c r="A9" s="7" t="n">
        <v>0.381944444444444</v>
      </c>
      <c r="B9" s="7" t="n">
        <v>0.385416666666667</v>
      </c>
      <c r="C9" s="17" t="n">
        <f aca="false">IF(OR(A9="",B9=""),"",(B9-A9)*1440)</f>
        <v>5</v>
      </c>
      <c r="D9" s="21" t="s">
        <v>69</v>
      </c>
      <c r="E9" s="19" t="s">
        <v>70</v>
      </c>
      <c r="F9" s="20"/>
    </row>
    <row r="10" customFormat="false" ht="15" hidden="false" customHeight="false" outlineLevel="0" collapsed="false">
      <c r="A10" s="7" t="n">
        <v>0.385416666666667</v>
      </c>
      <c r="B10" s="7" t="n">
        <v>0.392361111111111</v>
      </c>
      <c r="C10" s="17" t="n">
        <f aca="false">IF(OR(A10="",B10=""),"",(B10-A10)*1440)</f>
        <v>10</v>
      </c>
      <c r="D10" s="25" t="s">
        <v>80</v>
      </c>
      <c r="E10" s="19" t="s">
        <v>230</v>
      </c>
      <c r="F10" s="22" t="s">
        <v>424</v>
      </c>
    </row>
    <row r="11" customFormat="false" ht="15" hidden="false" customHeight="false" outlineLevel="0" collapsed="false">
      <c r="A11" s="7" t="n">
        <v>0.392361111111111</v>
      </c>
      <c r="B11" s="7" t="n">
        <v>0.395833333333333</v>
      </c>
      <c r="C11" s="17" t="n">
        <f aca="false">IF(OR(A11="",B11=""),"",(B11-A11)*1440)</f>
        <v>5</v>
      </c>
      <c r="D11" s="21" t="s">
        <v>69</v>
      </c>
      <c r="E11" s="19" t="s">
        <v>70</v>
      </c>
      <c r="F11" s="22" t="s">
        <v>425</v>
      </c>
    </row>
    <row r="12" customFormat="false" ht="15" hidden="false" customHeight="false" outlineLevel="0" collapsed="false">
      <c r="A12" s="7" t="n">
        <v>0.395833333333333</v>
      </c>
      <c r="B12" s="7" t="n">
        <v>0.416666666666667</v>
      </c>
      <c r="C12" s="17" t="n">
        <f aca="false">IF(OR(A12="",B12=""),"",(B12-A12)*1440)</f>
        <v>30</v>
      </c>
      <c r="D12" s="25" t="s">
        <v>80</v>
      </c>
      <c r="E12" s="19" t="s">
        <v>234</v>
      </c>
      <c r="F12" s="22" t="s">
        <v>426</v>
      </c>
    </row>
    <row r="13" customFormat="false" ht="15" hidden="false" customHeight="false" outlineLevel="0" collapsed="false">
      <c r="A13" s="7" t="n">
        <v>0.416666666666667</v>
      </c>
      <c r="B13" s="7" t="n">
        <v>0.427083333333333</v>
      </c>
      <c r="C13" s="17" t="n">
        <f aca="false">IF(OR(A13="",B13=""),"",(B13-A13)*1440)</f>
        <v>15</v>
      </c>
      <c r="D13" s="25" t="s">
        <v>80</v>
      </c>
      <c r="E13" s="19" t="s">
        <v>237</v>
      </c>
      <c r="F13" s="22" t="s">
        <v>238</v>
      </c>
    </row>
    <row r="14" customFormat="false" ht="15" hidden="false" customHeight="false" outlineLevel="0" collapsed="false">
      <c r="A14" s="7" t="n">
        <v>0.427083333333333</v>
      </c>
      <c r="B14" s="7" t="n">
        <v>0.447916666666667</v>
      </c>
      <c r="C14" s="17" t="n">
        <f aca="false">IF(OR(A14="",B14=""),"",(B14-A14)*1440)</f>
        <v>30</v>
      </c>
      <c r="D14" s="25" t="s">
        <v>80</v>
      </c>
      <c r="E14" s="19" t="s">
        <v>239</v>
      </c>
      <c r="F14" s="22" t="s">
        <v>427</v>
      </c>
    </row>
    <row r="15" customFormat="false" ht="15" hidden="false" customHeight="false" outlineLevel="0" collapsed="false">
      <c r="A15" s="7" t="n">
        <v>0.447916666666667</v>
      </c>
      <c r="B15" s="7" t="n">
        <v>0.458333333333333</v>
      </c>
      <c r="C15" s="17" t="n">
        <f aca="false">IF(OR(A15="",B15=""),"",(B15-A15)*1440)</f>
        <v>15</v>
      </c>
      <c r="D15" s="25" t="s">
        <v>80</v>
      </c>
      <c r="E15" s="19" t="s">
        <v>242</v>
      </c>
      <c r="F15" s="22" t="s">
        <v>243</v>
      </c>
    </row>
    <row r="16" customFormat="false" ht="15" hidden="false" customHeight="false" outlineLevel="0" collapsed="false">
      <c r="A16" s="7" t="n">
        <v>0.458333333333333</v>
      </c>
      <c r="B16" s="7" t="n">
        <v>0.496527777777778</v>
      </c>
      <c r="C16" s="17" t="n">
        <f aca="false">IF(OR(A16="",B16=""),"",(B16-A16)*1440)</f>
        <v>55</v>
      </c>
      <c r="D16" s="26" t="s">
        <v>104</v>
      </c>
      <c r="E16" s="19" t="s">
        <v>244</v>
      </c>
      <c r="F16" s="22" t="s">
        <v>245</v>
      </c>
    </row>
    <row r="17" customFormat="false" ht="15" hidden="false" customHeight="false" outlineLevel="0" collapsed="false">
      <c r="A17" s="7" t="n">
        <v>0.496527777777778</v>
      </c>
      <c r="B17" s="7" t="n">
        <v>0.506944444444444</v>
      </c>
      <c r="C17" s="17" t="n">
        <f aca="false">IF(OR(A17="",B17=""),"",(B17-A17)*1440)</f>
        <v>15</v>
      </c>
      <c r="D17" s="21" t="s">
        <v>69</v>
      </c>
      <c r="E17" s="19" t="s">
        <v>169</v>
      </c>
      <c r="F17" s="20"/>
    </row>
    <row r="18" customFormat="false" ht="15" hidden="false" customHeight="false" outlineLevel="0" collapsed="false">
      <c r="A18" s="7" t="n">
        <v>0.506944444444444</v>
      </c>
      <c r="B18" s="7" t="n">
        <v>0.510416666666667</v>
      </c>
      <c r="C18" s="17" t="n">
        <f aca="false">IF(OR(A18="",B18=""),"",(B18-A18)*1440)</f>
        <v>5</v>
      </c>
      <c r="D18" s="21" t="s">
        <v>69</v>
      </c>
      <c r="E18" s="19" t="s">
        <v>70</v>
      </c>
      <c r="F18" s="22" t="s">
        <v>428</v>
      </c>
    </row>
    <row r="19" customFormat="false" ht="29.85" hidden="false" customHeight="false" outlineLevel="0" collapsed="false">
      <c r="A19" s="7" t="n">
        <v>0.513888888888889</v>
      </c>
      <c r="B19" s="7" t="n">
        <v>0.548611111111111</v>
      </c>
      <c r="C19" s="17" t="n">
        <f aca="false">IF(OR(A19="",B19=""),"",(B19-A19)*1440)</f>
        <v>50</v>
      </c>
      <c r="D19" s="25" t="s">
        <v>80</v>
      </c>
      <c r="E19" s="19" t="s">
        <v>247</v>
      </c>
      <c r="F19" s="22" t="s">
        <v>429</v>
      </c>
    </row>
    <row r="20" customFormat="false" ht="15" hidden="false" customHeight="false" outlineLevel="0" collapsed="false">
      <c r="A20" s="7" t="n">
        <v>0.548611111111111</v>
      </c>
      <c r="B20" s="7" t="n">
        <v>0.569444444444444</v>
      </c>
      <c r="C20" s="17" t="n">
        <f aca="false">IF(OR(A20="",B20=""),"",(B20-A20)*1440)</f>
        <v>30</v>
      </c>
      <c r="D20" s="21" t="s">
        <v>69</v>
      </c>
      <c r="E20" s="19" t="s">
        <v>169</v>
      </c>
      <c r="F20" s="22" t="s">
        <v>430</v>
      </c>
    </row>
    <row r="21" customFormat="false" ht="15" hidden="false" customHeight="false" outlineLevel="0" collapsed="false">
      <c r="A21" s="7" t="n">
        <v>0.569444444444444</v>
      </c>
      <c r="B21" s="7" t="n">
        <v>0.611111111111111</v>
      </c>
      <c r="C21" s="17" t="n">
        <f aca="false">IF(OR(A21="",B21=""),"",(B21-A21)*1440)</f>
        <v>60</v>
      </c>
      <c r="D21" s="25" t="s">
        <v>80</v>
      </c>
      <c r="E21" s="19" t="s">
        <v>252</v>
      </c>
      <c r="F21" s="22" t="s">
        <v>431</v>
      </c>
    </row>
    <row r="22" customFormat="false" ht="15" hidden="false" customHeight="false" outlineLevel="0" collapsed="false">
      <c r="A22" s="7" t="n">
        <v>0.611111111111111</v>
      </c>
      <c r="B22" s="7" t="n">
        <v>0.621527777777778</v>
      </c>
      <c r="C22" s="17" t="n">
        <f aca="false">IF(OR(A22="",B22=""),"",(B22-A22)*1440)</f>
        <v>15</v>
      </c>
      <c r="D22" s="21" t="s">
        <v>69</v>
      </c>
      <c r="E22" s="19" t="s">
        <v>70</v>
      </c>
      <c r="F22" s="22" t="s">
        <v>432</v>
      </c>
    </row>
    <row r="23" customFormat="false" ht="15" hidden="false" customHeight="false" outlineLevel="0" collapsed="false">
      <c r="A23" s="7" t="n">
        <v>0.621527777777778</v>
      </c>
      <c r="B23" s="7" t="n">
        <v>0.631944444444444</v>
      </c>
      <c r="C23" s="17" t="n">
        <f aca="false">IF(OR(A23="",B23=""),"",(B23-A23)*1440)</f>
        <v>15</v>
      </c>
      <c r="D23" s="25" t="s">
        <v>80</v>
      </c>
      <c r="E23" s="19" t="s">
        <v>256</v>
      </c>
      <c r="F23" s="22" t="s">
        <v>257</v>
      </c>
    </row>
    <row r="24" customFormat="false" ht="15" hidden="false" customHeight="false" outlineLevel="0" collapsed="false">
      <c r="A24" s="7" t="n">
        <v>0.631944444444444</v>
      </c>
      <c r="B24" s="7" t="n">
        <v>0.635416666666667</v>
      </c>
      <c r="C24" s="17" t="n">
        <f aca="false">IF(OR(A24="",B24=""),"",(B24-A24)*1440)</f>
        <v>5</v>
      </c>
      <c r="D24" s="21" t="s">
        <v>69</v>
      </c>
      <c r="E24" s="19" t="s">
        <v>70</v>
      </c>
      <c r="F24" s="22" t="s">
        <v>432</v>
      </c>
    </row>
    <row r="25" customFormat="false" ht="15" hidden="false" customHeight="false" outlineLevel="0" collapsed="false">
      <c r="A25" s="7" t="n">
        <v>0.635416666666667</v>
      </c>
      <c r="B25" s="7" t="n">
        <v>0.6875</v>
      </c>
      <c r="C25" s="17" t="n">
        <f aca="false">IF(OR(A25="",B25=""),"",(B25-A25)*1440)</f>
        <v>75</v>
      </c>
      <c r="D25" s="25" t="s">
        <v>80</v>
      </c>
      <c r="E25" s="19" t="s">
        <v>258</v>
      </c>
      <c r="F25" s="22" t="s">
        <v>433</v>
      </c>
    </row>
    <row r="26" customFormat="false" ht="15" hidden="false" customHeight="false" outlineLevel="0" collapsed="false">
      <c r="A26" s="7" t="n">
        <v>0.6875</v>
      </c>
      <c r="B26" s="7" t="n">
        <v>0.701388888888889</v>
      </c>
      <c r="C26" s="17" t="n">
        <f aca="false">IF(OR(A26="",B26=""),"",(B26-A26)*1440)</f>
        <v>20</v>
      </c>
      <c r="D26" s="21" t="s">
        <v>69</v>
      </c>
      <c r="E26" s="19" t="s">
        <v>70</v>
      </c>
      <c r="F26" s="22" t="s">
        <v>434</v>
      </c>
    </row>
    <row r="27" customFormat="false" ht="15" hidden="false" customHeight="false" outlineLevel="0" collapsed="false">
      <c r="A27" s="7" t="n">
        <v>0.701388888888889</v>
      </c>
      <c r="B27" s="7" t="n">
        <v>0.711805555555556</v>
      </c>
      <c r="C27" s="17" t="n">
        <f aca="false">IF(OR(A27="",B27=""),"",(B27-A27)*1440)</f>
        <v>15</v>
      </c>
      <c r="D27" s="25" t="s">
        <v>80</v>
      </c>
      <c r="E27" s="19" t="s">
        <v>135</v>
      </c>
      <c r="F27" s="22" t="s">
        <v>262</v>
      </c>
    </row>
    <row r="28" customFormat="false" ht="15" hidden="false" customHeight="false" outlineLevel="0" collapsed="false">
      <c r="A28" s="7" t="n">
        <v>0.711805555555556</v>
      </c>
      <c r="B28" s="7" t="n">
        <v>0.71875</v>
      </c>
      <c r="C28" s="17" t="n">
        <f aca="false">IF(OR(A28="",B28=""),"",(B28-A28)*1440)</f>
        <v>10</v>
      </c>
      <c r="D28" s="21" t="s">
        <v>69</v>
      </c>
      <c r="E28" s="19" t="s">
        <v>70</v>
      </c>
      <c r="F28" s="22" t="s">
        <v>435</v>
      </c>
    </row>
    <row r="29" customFormat="false" ht="15" hidden="false" customHeight="false" outlineLevel="0" collapsed="false">
      <c r="A29" s="7" t="n">
        <v>0.71875</v>
      </c>
      <c r="B29" s="7" t="n">
        <v>0.729166666666667</v>
      </c>
      <c r="C29" s="17" t="n">
        <f aca="false">IF(OR(A29="",B29=""),"",(B29-A29)*1440)</f>
        <v>15</v>
      </c>
      <c r="D29" s="18" t="s">
        <v>66</v>
      </c>
      <c r="E29" s="24" t="s">
        <v>102</v>
      </c>
      <c r="F29" s="22" t="s">
        <v>32</v>
      </c>
    </row>
    <row r="30" customFormat="false" ht="15" hidden="false" customHeight="false" outlineLevel="0" collapsed="false">
      <c r="A30" s="7" t="n">
        <v>0.729166666666667</v>
      </c>
      <c r="B30" s="7" t="n">
        <v>0.732638888888889</v>
      </c>
      <c r="C30" s="17" t="n">
        <f aca="false">IF(OR(A30="",B30=""),"",(B30-A30)*1440)</f>
        <v>5</v>
      </c>
      <c r="D30" s="21" t="s">
        <v>69</v>
      </c>
      <c r="E30" s="19" t="s">
        <v>264</v>
      </c>
      <c r="F30" s="20"/>
    </row>
    <row r="31" customFormat="false" ht="15" hidden="false" customHeight="false" outlineLevel="0" collapsed="false">
      <c r="A31" s="7" t="n">
        <v>0.732638888888889</v>
      </c>
      <c r="B31" s="7" t="n">
        <v>0.774305555555556</v>
      </c>
      <c r="C31" s="17" t="n">
        <f aca="false">IF(OR(A31="",B31=""),"",(B31-A31)*1440)</f>
        <v>60</v>
      </c>
      <c r="D31" s="26" t="s">
        <v>104</v>
      </c>
      <c r="E31" s="19" t="s">
        <v>224</v>
      </c>
      <c r="F31" s="20" t="s">
        <v>265</v>
      </c>
    </row>
    <row r="32" customFormat="false" ht="15" hidden="false" customHeight="false" outlineLevel="0" collapsed="false">
      <c r="A32" s="7" t="n">
        <v>0.774305555555556</v>
      </c>
      <c r="B32" s="7" t="n">
        <v>0.777777777777778</v>
      </c>
      <c r="C32" s="17" t="n">
        <f aca="false">IF(OR(A32="",B32=""),"",(B32-A32)*1440)</f>
        <v>5</v>
      </c>
      <c r="D32" s="21" t="s">
        <v>69</v>
      </c>
      <c r="E32" s="19" t="s">
        <v>266</v>
      </c>
      <c r="F32" s="20"/>
    </row>
    <row r="33" customFormat="false" ht="15" hidden="false" customHeight="false" outlineLevel="0" collapsed="false">
      <c r="A33" s="7" t="n">
        <v>0.777777777777778</v>
      </c>
      <c r="B33" s="7" t="n">
        <v>0.788194444444444</v>
      </c>
      <c r="C33" s="17" t="n">
        <f aca="false">IF(OR(A33="",B33=""),"",(B33-A33)*1440)</f>
        <v>15</v>
      </c>
      <c r="D33" s="21" t="s">
        <v>69</v>
      </c>
      <c r="E33" s="19" t="s">
        <v>70</v>
      </c>
      <c r="F33" s="22" t="s">
        <v>436</v>
      </c>
    </row>
    <row r="34" customFormat="false" ht="15" hidden="false" customHeight="false" outlineLevel="0" collapsed="false">
      <c r="A34" s="7" t="n">
        <v>0.788194444444444</v>
      </c>
      <c r="B34" s="7" t="n">
        <v>0.802083333333333</v>
      </c>
      <c r="C34" s="17" t="n">
        <f aca="false">IF(OR(A34="",B34=""),"",(B34-A34)*1440)</f>
        <v>20</v>
      </c>
      <c r="D34" s="25" t="s">
        <v>80</v>
      </c>
      <c r="E34" s="19" t="s">
        <v>268</v>
      </c>
      <c r="F34" s="22" t="s">
        <v>437</v>
      </c>
    </row>
    <row r="35" customFormat="false" ht="15" hidden="false" customHeight="false" outlineLevel="0" collapsed="false">
      <c r="A35" s="7" t="n">
        <v>0.802083333333333</v>
      </c>
      <c r="B35" s="7" t="n">
        <v>0.8125</v>
      </c>
      <c r="C35" s="17" t="n">
        <f aca="false">IF(OR(A35="",B35=""),"",(B35-A35)*1440)</f>
        <v>15</v>
      </c>
      <c r="D35" s="21" t="s">
        <v>69</v>
      </c>
      <c r="E35" s="19" t="s">
        <v>70</v>
      </c>
      <c r="F35" s="22" t="s">
        <v>435</v>
      </c>
    </row>
    <row r="36" customFormat="false" ht="15" hidden="false" customHeight="false" outlineLevel="0" collapsed="false">
      <c r="A36" s="6"/>
      <c r="B36" s="6"/>
      <c r="C36" s="17" t="str">
        <f aca="false">IF(OR(A36="",B36=""),"",(B36-A36)*1440)</f>
        <v/>
      </c>
      <c r="D36" s="18" t="s">
        <v>66</v>
      </c>
      <c r="E36" s="19" t="s">
        <v>271</v>
      </c>
      <c r="F36" s="22" t="s">
        <v>438</v>
      </c>
    </row>
    <row r="38" customFormat="false" ht="15" hidden="false" customHeight="false" outlineLevel="0" collapsed="false">
      <c r="A38" s="27" t="s">
        <v>374</v>
      </c>
      <c r="C38" s="28" t="str">
        <f aca="false">TEXT(MIN(A5:A36),"hh:mm")&amp;" ~ "&amp;TEXT(MAX(B5:B36),"hh:mm")</f>
        <v>08:30 ~ 19:30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27.75" hidden="false" customHeight="true" outlineLevel="0" collapsed="false">
      <c r="A1" s="14" t="s">
        <v>439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2" t="s">
        <v>36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360</v>
      </c>
    </row>
    <row r="5" customFormat="false" ht="15" hidden="false" customHeight="false" outlineLevel="0" collapsed="false">
      <c r="A5" s="6"/>
      <c r="B5" s="6"/>
      <c r="C5" s="17" t="str">
        <f aca="false">IF(OR(A5="",B5=""),"",(B5-A5)*1440)</f>
        <v/>
      </c>
      <c r="D5" s="18" t="s">
        <v>66</v>
      </c>
      <c r="E5" s="19" t="s">
        <v>67</v>
      </c>
      <c r="F5" s="22" t="s">
        <v>32</v>
      </c>
    </row>
    <row r="6" customFormat="false" ht="15" hidden="false" customHeight="false" outlineLevel="0" collapsed="false">
      <c r="A6" s="6"/>
      <c r="B6" s="6"/>
      <c r="C6" s="17" t="str">
        <f aca="false">IF(OR(A6="",B6=""),"",(B6-A6)*1440)</f>
        <v/>
      </c>
      <c r="D6" s="26" t="s">
        <v>104</v>
      </c>
      <c r="E6" s="19" t="s">
        <v>273</v>
      </c>
      <c r="F6" s="22" t="s">
        <v>32</v>
      </c>
    </row>
    <row r="7" customFormat="false" ht="15" hidden="false" customHeight="false" outlineLevel="0" collapsed="false">
      <c r="A7" s="7" t="n">
        <v>0.3125</v>
      </c>
      <c r="B7" s="7" t="n">
        <v>0.333333333333333</v>
      </c>
      <c r="C7" s="17" t="n">
        <f aca="false">IF(OR(A7="",B7=""),"",(B7-A7)*1440)</f>
        <v>30</v>
      </c>
      <c r="D7" s="21" t="s">
        <v>69</v>
      </c>
      <c r="E7" s="19" t="s">
        <v>70</v>
      </c>
      <c r="F7" s="22" t="s">
        <v>440</v>
      </c>
    </row>
    <row r="8" customFormat="false" ht="29.85" hidden="false" customHeight="false" outlineLevel="0" collapsed="false">
      <c r="A8" s="7" t="n">
        <v>0.333333333333333</v>
      </c>
      <c r="B8" s="7" t="n">
        <v>0.354166666666667</v>
      </c>
      <c r="C8" s="17" t="n">
        <f aca="false">IF(OR(A8="",B8=""),"",(B8-A8)*1440)</f>
        <v>30</v>
      </c>
      <c r="D8" s="25" t="s">
        <v>80</v>
      </c>
      <c r="E8" s="19" t="s">
        <v>275</v>
      </c>
      <c r="F8" s="22" t="s">
        <v>441</v>
      </c>
    </row>
    <row r="9" customFormat="false" ht="15" hidden="false" customHeight="false" outlineLevel="0" collapsed="false">
      <c r="A9" s="7" t="n">
        <v>0.354166666666667</v>
      </c>
      <c r="B9" s="7" t="n">
        <v>0.368055555555556</v>
      </c>
      <c r="C9" s="17" t="n">
        <f aca="false">IF(OR(A9="",B9=""),"",(B9-A9)*1440)</f>
        <v>20</v>
      </c>
      <c r="D9" s="25" t="s">
        <v>80</v>
      </c>
      <c r="E9" s="19" t="s">
        <v>278</v>
      </c>
      <c r="F9" s="22" t="s">
        <v>442</v>
      </c>
    </row>
    <row r="10" customFormat="false" ht="15" hidden="false" customHeight="false" outlineLevel="0" collapsed="false">
      <c r="A10" s="7" t="n">
        <v>0.368055555555556</v>
      </c>
      <c r="B10" s="7" t="n">
        <v>0.375</v>
      </c>
      <c r="C10" s="17" t="n">
        <f aca="false">IF(OR(A10="",B10=""),"",(B10-A10)*1440)</f>
        <v>10</v>
      </c>
      <c r="D10" s="25" t="s">
        <v>80</v>
      </c>
      <c r="E10" s="19" t="s">
        <v>221</v>
      </c>
      <c r="F10" s="22" t="s">
        <v>281</v>
      </c>
    </row>
    <row r="11" customFormat="false" ht="29.85" hidden="false" customHeight="false" outlineLevel="0" collapsed="false">
      <c r="A11" s="7" t="n">
        <v>0.375</v>
      </c>
      <c r="B11" s="7" t="n">
        <v>0.444444444444444</v>
      </c>
      <c r="C11" s="17" t="n">
        <f aca="false">IF(OR(A11="",B11=""),"",(B11-A11)*1440)</f>
        <v>100</v>
      </c>
      <c r="D11" s="25" t="s">
        <v>80</v>
      </c>
      <c r="E11" s="19" t="s">
        <v>282</v>
      </c>
      <c r="F11" s="22" t="s">
        <v>443</v>
      </c>
    </row>
    <row r="12" customFormat="false" ht="29.85" hidden="false" customHeight="false" outlineLevel="0" collapsed="false">
      <c r="A12" s="7" t="n">
        <v>0.444444444444444</v>
      </c>
      <c r="B12" s="7" t="n">
        <v>0.465277777777778</v>
      </c>
      <c r="C12" s="17" t="n">
        <f aca="false">IF(OR(A12="",B12=""),"",(B12-A12)*1440)</f>
        <v>30</v>
      </c>
      <c r="D12" s="25" t="s">
        <v>80</v>
      </c>
      <c r="E12" s="19" t="s">
        <v>285</v>
      </c>
      <c r="F12" s="22" t="s">
        <v>444</v>
      </c>
    </row>
    <row r="13" customFormat="false" ht="29.85" hidden="false" customHeight="false" outlineLevel="0" collapsed="false">
      <c r="A13" s="7" t="n">
        <v>0.465277777777778</v>
      </c>
      <c r="B13" s="7" t="n">
        <v>0.479166666666667</v>
      </c>
      <c r="C13" s="17" t="n">
        <f aca="false">IF(OR(A13="",B13=""),"",(B13-A13)*1440)</f>
        <v>20</v>
      </c>
      <c r="D13" s="25" t="s">
        <v>80</v>
      </c>
      <c r="E13" s="19" t="s">
        <v>288</v>
      </c>
      <c r="F13" s="22" t="s">
        <v>445</v>
      </c>
    </row>
    <row r="14" customFormat="false" ht="15" hidden="false" customHeight="false" outlineLevel="0" collapsed="false">
      <c r="A14" s="7" t="n">
        <v>0.479166666666667</v>
      </c>
      <c r="B14" s="7" t="n">
        <v>0.486111111111111</v>
      </c>
      <c r="C14" s="17" t="n">
        <f aca="false">IF(OR(A14="",B14=""),"",(B14-A14)*1440)</f>
        <v>10</v>
      </c>
      <c r="D14" s="21" t="s">
        <v>69</v>
      </c>
      <c r="E14" s="19" t="s">
        <v>290</v>
      </c>
      <c r="F14" s="20"/>
    </row>
    <row r="15" customFormat="false" ht="15" hidden="false" customHeight="false" outlineLevel="0" collapsed="false">
      <c r="A15" s="7" t="n">
        <v>0.486111111111111</v>
      </c>
      <c r="B15" s="7" t="n">
        <v>0.493055555555556</v>
      </c>
      <c r="C15" s="17" t="n">
        <f aca="false">IF(OR(A15="",B15=""),"",(B15-A15)*1440)</f>
        <v>10</v>
      </c>
      <c r="D15" s="21" t="s">
        <v>69</v>
      </c>
      <c r="E15" s="19" t="s">
        <v>70</v>
      </c>
      <c r="F15" s="22" t="s">
        <v>420</v>
      </c>
    </row>
    <row r="16" customFormat="false" ht="29.85" hidden="false" customHeight="false" outlineLevel="0" collapsed="false">
      <c r="A16" s="7" t="n">
        <v>0.493055555555556</v>
      </c>
      <c r="B16" s="6"/>
      <c r="C16" s="17" t="str">
        <f aca="false">IF(OR(A16="",B16=""),"",(B16-A16)*1440)</f>
        <v/>
      </c>
      <c r="D16" s="26" t="s">
        <v>104</v>
      </c>
      <c r="E16" s="19" t="s">
        <v>291</v>
      </c>
      <c r="F16" s="22" t="s">
        <v>446</v>
      </c>
    </row>
    <row r="17" customFormat="false" ht="29.85" hidden="false" customHeight="false" outlineLevel="0" collapsed="false">
      <c r="A17" s="6"/>
      <c r="B17" s="6"/>
      <c r="C17" s="17" t="str">
        <f aca="false">IF(OR(A17="",B17=""),"",(B17-A17)*1440)</f>
        <v/>
      </c>
      <c r="D17" s="26" t="s">
        <v>104</v>
      </c>
      <c r="E17" s="19" t="s">
        <v>447</v>
      </c>
      <c r="F17" s="22" t="s">
        <v>448</v>
      </c>
    </row>
    <row r="18" customFormat="false" ht="15" hidden="false" customHeight="false" outlineLevel="0" collapsed="false">
      <c r="A18" s="6"/>
      <c r="B18" s="6"/>
      <c r="C18" s="17" t="str">
        <f aca="false">IF(OR(A18="",B18=""),"",(B18-A18)*1440)</f>
        <v/>
      </c>
      <c r="D18" s="26" t="s">
        <v>104</v>
      </c>
      <c r="E18" s="19" t="s">
        <v>447</v>
      </c>
      <c r="F18" s="22" t="s">
        <v>449</v>
      </c>
    </row>
    <row r="19" customFormat="false" ht="29.85" hidden="false" customHeight="false" outlineLevel="0" collapsed="false">
      <c r="A19" s="6"/>
      <c r="B19" s="6"/>
      <c r="C19" s="17" t="str">
        <f aca="false">IF(OR(A19="",B19=""),"",(B19-A19)*1440)</f>
        <v/>
      </c>
      <c r="D19" s="26" t="s">
        <v>104</v>
      </c>
      <c r="E19" s="19" t="s">
        <v>447</v>
      </c>
      <c r="F19" s="22" t="s">
        <v>450</v>
      </c>
    </row>
    <row r="20" customFormat="false" ht="15" hidden="false" customHeight="false" outlineLevel="0" collapsed="false">
      <c r="A20" s="6"/>
      <c r="B20" s="6"/>
      <c r="C20" s="17" t="str">
        <f aca="false">IF(OR(A20="",B20=""),"",(B20-A20)*1440)</f>
        <v/>
      </c>
      <c r="D20" s="26" t="s">
        <v>104</v>
      </c>
      <c r="E20" s="19" t="s">
        <v>447</v>
      </c>
      <c r="F20" s="22" t="s">
        <v>451</v>
      </c>
    </row>
    <row r="21" customFormat="false" ht="15" hidden="false" customHeight="false" outlineLevel="0" collapsed="false">
      <c r="A21" s="6"/>
      <c r="B21" s="6"/>
      <c r="C21" s="17" t="str">
        <f aca="false">IF(OR(A21="",B21=""),"",(B21-A21)*1440)</f>
        <v/>
      </c>
      <c r="D21" s="26" t="s">
        <v>104</v>
      </c>
      <c r="E21" s="19" t="s">
        <v>447</v>
      </c>
      <c r="F21" s="22" t="s">
        <v>452</v>
      </c>
    </row>
    <row r="22" customFormat="false" ht="15" hidden="false" customHeight="false" outlineLevel="0" collapsed="false">
      <c r="A22" s="6"/>
      <c r="B22" s="7" t="n">
        <v>0.583333333333333</v>
      </c>
      <c r="C22" s="17" t="str">
        <f aca="false">IF(OR(A22="",B22=""),"",(B22-A22)*1440)</f>
        <v/>
      </c>
      <c r="D22" s="26" t="s">
        <v>104</v>
      </c>
      <c r="E22" s="19" t="s">
        <v>447</v>
      </c>
      <c r="F22" s="22" t="s">
        <v>453</v>
      </c>
    </row>
    <row r="23" customFormat="false" ht="15" hidden="false" customHeight="false" outlineLevel="0" collapsed="false">
      <c r="A23" s="7" t="n">
        <v>0.583333333333333</v>
      </c>
      <c r="B23" s="7" t="n">
        <v>0.645833333333333</v>
      </c>
      <c r="C23" s="17" t="n">
        <f aca="false">IF(OR(A23="",B23=""),"",(B23-A23)*1440)</f>
        <v>90</v>
      </c>
      <c r="D23" s="21" t="s">
        <v>69</v>
      </c>
      <c r="E23" s="19" t="s">
        <v>70</v>
      </c>
      <c r="F23" s="22" t="s">
        <v>454</v>
      </c>
    </row>
    <row r="24" customFormat="false" ht="15" hidden="false" customHeight="false" outlineLevel="0" collapsed="false">
      <c r="A24" s="7" t="n">
        <v>0.645833333333333</v>
      </c>
      <c r="B24" s="7" t="n">
        <v>0.791666666666667</v>
      </c>
      <c r="C24" s="17" t="n">
        <f aca="false">IF(OR(A24="",B24=""),"",(B24-A24)*1440)</f>
        <v>210</v>
      </c>
      <c r="D24" s="25" t="s">
        <v>80</v>
      </c>
      <c r="E24" s="19" t="s">
        <v>295</v>
      </c>
      <c r="F24" s="22" t="s">
        <v>455</v>
      </c>
    </row>
    <row r="25" customFormat="false" ht="15" hidden="false" customHeight="false" outlineLevel="0" collapsed="false">
      <c r="A25" s="7" t="n">
        <v>0.791666666666667</v>
      </c>
      <c r="B25" s="7" t="n">
        <v>0.8125</v>
      </c>
      <c r="C25" s="17" t="n">
        <f aca="false">IF(OR(A25="",B25=""),"",(B25-A25)*1440)</f>
        <v>30</v>
      </c>
      <c r="D25" s="21" t="s">
        <v>69</v>
      </c>
      <c r="E25" s="19" t="s">
        <v>70</v>
      </c>
      <c r="F25" s="22" t="s">
        <v>456</v>
      </c>
    </row>
    <row r="26" customFormat="false" ht="15" hidden="false" customHeight="false" outlineLevel="0" collapsed="false">
      <c r="A26" s="7" t="n">
        <v>0.8125</v>
      </c>
      <c r="B26" s="7" t="n">
        <v>0.826388888888889</v>
      </c>
      <c r="C26" s="17" t="n">
        <f aca="false">IF(OR(A26="",B26=""),"",(B26-A26)*1440)</f>
        <v>20</v>
      </c>
      <c r="D26" s="25" t="s">
        <v>80</v>
      </c>
      <c r="E26" s="19" t="s">
        <v>299</v>
      </c>
      <c r="F26" s="22" t="s">
        <v>300</v>
      </c>
    </row>
    <row r="27" customFormat="false" ht="15" hidden="false" customHeight="false" outlineLevel="0" collapsed="false">
      <c r="A27" s="7" t="n">
        <v>0.826388888888889</v>
      </c>
      <c r="B27" s="7" t="n">
        <v>0.833333333333333</v>
      </c>
      <c r="C27" s="17" t="n">
        <f aca="false">IF(OR(A27="",B27=""),"",(B27-A27)*1440)</f>
        <v>10</v>
      </c>
      <c r="D27" s="21" t="s">
        <v>69</v>
      </c>
      <c r="E27" s="19" t="s">
        <v>70</v>
      </c>
      <c r="F27" s="22" t="s">
        <v>457</v>
      </c>
    </row>
    <row r="28" customFormat="false" ht="15" hidden="false" customHeight="false" outlineLevel="0" collapsed="false">
      <c r="A28" s="7" t="n">
        <v>0.833333333333333</v>
      </c>
      <c r="B28" s="7" t="n">
        <v>0.875</v>
      </c>
      <c r="C28" s="17" t="n">
        <f aca="false">IF(OR(A28="",B28=""),"",(B28-A28)*1440)</f>
        <v>60</v>
      </c>
      <c r="D28" s="26" t="s">
        <v>104</v>
      </c>
      <c r="E28" s="19" t="s">
        <v>302</v>
      </c>
      <c r="F28" s="22" t="s">
        <v>303</v>
      </c>
    </row>
    <row r="29" customFormat="false" ht="15" hidden="false" customHeight="false" outlineLevel="0" collapsed="false">
      <c r="A29" s="7" t="n">
        <v>0.875</v>
      </c>
      <c r="B29" s="7" t="n">
        <v>0.881944444444444</v>
      </c>
      <c r="C29" s="17" t="n">
        <f aca="false">IF(OR(A29="",B29=""),"",(B29-A29)*1440)</f>
        <v>10</v>
      </c>
      <c r="D29" s="21" t="s">
        <v>69</v>
      </c>
      <c r="E29" s="19" t="s">
        <v>70</v>
      </c>
      <c r="F29" s="22" t="s">
        <v>458</v>
      </c>
    </row>
    <row r="30" customFormat="false" ht="15" hidden="false" customHeight="false" outlineLevel="0" collapsed="false">
      <c r="A30" s="6"/>
      <c r="B30" s="6"/>
      <c r="C30" s="17" t="str">
        <f aca="false">IF(OR(A30="",B30=""),"",(B30-A30)*1440)</f>
        <v/>
      </c>
      <c r="D30" s="18" t="s">
        <v>66</v>
      </c>
      <c r="E30" s="24" t="s">
        <v>102</v>
      </c>
      <c r="F30" s="20" t="s">
        <v>37</v>
      </c>
    </row>
    <row r="32" customFormat="false" ht="15" hidden="false" customHeight="false" outlineLevel="0" collapsed="false">
      <c r="A32" s="27" t="s">
        <v>374</v>
      </c>
      <c r="C32" s="28" t="str">
        <f aca="false">TEXT(MIN(A5:A30),"hh:mm")&amp;" ~ "&amp;TEXT(MAX(B5:B30),"hh:mm")</f>
        <v>07:30 ~ 21:10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27.75" hidden="false" customHeight="true" outlineLevel="0" collapsed="false">
      <c r="A1" s="14" t="s">
        <v>459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2" t="s">
        <v>41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360</v>
      </c>
    </row>
    <row r="5" customFormat="false" ht="15" hidden="false" customHeight="false" outlineLevel="0" collapsed="false">
      <c r="A5" s="6"/>
      <c r="B5" s="6"/>
      <c r="C5" s="17" t="str">
        <f aca="false">IF(OR(A5="",B5=""),"",(B5-A5)*1440)</f>
        <v/>
      </c>
      <c r="D5" s="18" t="s">
        <v>66</v>
      </c>
      <c r="E5" s="19" t="s">
        <v>67</v>
      </c>
      <c r="F5" s="20" t="s">
        <v>37</v>
      </c>
    </row>
    <row r="6" customFormat="false" ht="15" hidden="false" customHeight="false" outlineLevel="0" collapsed="false">
      <c r="A6" s="6"/>
      <c r="B6" s="6"/>
      <c r="C6" s="17" t="str">
        <f aca="false">IF(OR(A6="",B6=""),"",(B6-A6)*1440)</f>
        <v/>
      </c>
      <c r="D6" s="26" t="s">
        <v>104</v>
      </c>
      <c r="E6" s="19" t="s">
        <v>305</v>
      </c>
      <c r="F6" s="20" t="s">
        <v>37</v>
      </c>
    </row>
    <row r="7" customFormat="false" ht="15" hidden="false" customHeight="false" outlineLevel="0" collapsed="false">
      <c r="A7" s="7" t="n">
        <v>0.322916666666667</v>
      </c>
      <c r="B7" s="7" t="n">
        <v>0.333333333333333</v>
      </c>
      <c r="C7" s="17" t="n">
        <f aca="false">IF(OR(A7="",B7=""),"",(B7-A7)*1440)</f>
        <v>15</v>
      </c>
      <c r="D7" s="21" t="s">
        <v>69</v>
      </c>
      <c r="E7" s="19" t="s">
        <v>70</v>
      </c>
      <c r="F7" s="22" t="s">
        <v>460</v>
      </c>
    </row>
    <row r="8" customFormat="false" ht="15" hidden="false" customHeight="false" outlineLevel="0" collapsed="false">
      <c r="A8" s="7" t="n">
        <v>0.333333333333333</v>
      </c>
      <c r="B8" s="7" t="n">
        <v>0.354166666666667</v>
      </c>
      <c r="C8" s="17" t="n">
        <f aca="false">IF(OR(A8="",B8=""),"",(B8-A8)*1440)</f>
        <v>30</v>
      </c>
      <c r="D8" s="25" t="s">
        <v>80</v>
      </c>
      <c r="E8" s="19" t="s">
        <v>307</v>
      </c>
      <c r="F8" s="22" t="s">
        <v>308</v>
      </c>
    </row>
    <row r="9" customFormat="false" ht="15" hidden="false" customHeight="false" outlineLevel="0" collapsed="false">
      <c r="A9" s="7" t="n">
        <v>0.354166666666667</v>
      </c>
      <c r="B9" s="7" t="n">
        <v>0.375</v>
      </c>
      <c r="C9" s="17" t="n">
        <f aca="false">IF(OR(A9="",B9=""),"",(B9-A9)*1440)</f>
        <v>30</v>
      </c>
      <c r="D9" s="21" t="s">
        <v>69</v>
      </c>
      <c r="E9" s="19" t="s">
        <v>70</v>
      </c>
      <c r="F9" s="22" t="s">
        <v>461</v>
      </c>
    </row>
    <row r="10" customFormat="false" ht="15" hidden="false" customHeight="false" outlineLevel="0" collapsed="false">
      <c r="A10" s="7" t="n">
        <v>0.375</v>
      </c>
      <c r="B10" s="7" t="n">
        <v>0.40625</v>
      </c>
      <c r="C10" s="17" t="n">
        <f aca="false">IF(OR(A10="",B10=""),"",(B10-A10)*1440)</f>
        <v>45</v>
      </c>
      <c r="D10" s="25" t="s">
        <v>80</v>
      </c>
      <c r="E10" s="19" t="s">
        <v>310</v>
      </c>
      <c r="F10" s="22" t="s">
        <v>462</v>
      </c>
    </row>
    <row r="11" customFormat="false" ht="15" hidden="false" customHeight="false" outlineLevel="0" collapsed="false">
      <c r="A11" s="7" t="n">
        <v>0.40625</v>
      </c>
      <c r="B11" s="7" t="n">
        <v>0.416666666666667</v>
      </c>
      <c r="C11" s="17" t="n">
        <f aca="false">IF(OR(A11="",B11=""),"",(B11-A11)*1440)</f>
        <v>15</v>
      </c>
      <c r="D11" s="21" t="s">
        <v>69</v>
      </c>
      <c r="E11" s="19" t="s">
        <v>70</v>
      </c>
      <c r="F11" s="20"/>
    </row>
    <row r="12" customFormat="false" ht="15" hidden="false" customHeight="false" outlineLevel="0" collapsed="false">
      <c r="A12" s="7" t="n">
        <v>0.416666666666667</v>
      </c>
      <c r="B12" s="7" t="n">
        <v>0.5</v>
      </c>
      <c r="C12" s="17" t="n">
        <f aca="false">IF(OR(A12="",B12=""),"",(B12-A12)*1440)</f>
        <v>120</v>
      </c>
      <c r="D12" s="25" t="s">
        <v>80</v>
      </c>
      <c r="E12" s="19" t="s">
        <v>313</v>
      </c>
      <c r="F12" s="22" t="s">
        <v>463</v>
      </c>
    </row>
    <row r="13" customFormat="false" ht="15" hidden="false" customHeight="false" outlineLevel="0" collapsed="false">
      <c r="A13" s="7" t="n">
        <v>0.5</v>
      </c>
      <c r="B13" s="7" t="n">
        <v>0.503472222222222</v>
      </c>
      <c r="C13" s="17" t="n">
        <f aca="false">IF(OR(A13="",B13=""),"",(B13-A13)*1440)</f>
        <v>5</v>
      </c>
      <c r="D13" s="21" t="s">
        <v>69</v>
      </c>
      <c r="E13" s="19" t="s">
        <v>70</v>
      </c>
      <c r="F13" s="20"/>
    </row>
    <row r="14" customFormat="false" ht="15" hidden="false" customHeight="false" outlineLevel="0" collapsed="false">
      <c r="A14" s="7" t="n">
        <v>0.503472222222222</v>
      </c>
      <c r="B14" s="7" t="n">
        <v>0.545138888888889</v>
      </c>
      <c r="C14" s="17" t="n">
        <f aca="false">IF(OR(A14="",B14=""),"",(B14-A14)*1440)</f>
        <v>60</v>
      </c>
      <c r="D14" s="26" t="s">
        <v>104</v>
      </c>
      <c r="E14" s="19" t="s">
        <v>316</v>
      </c>
      <c r="F14" s="22" t="s">
        <v>464</v>
      </c>
    </row>
    <row r="15" customFormat="false" ht="15" hidden="false" customHeight="false" outlineLevel="0" collapsed="false">
      <c r="A15" s="7" t="n">
        <v>0.545138888888889</v>
      </c>
      <c r="B15" s="7" t="n">
        <v>0.645833333333333</v>
      </c>
      <c r="C15" s="17" t="n">
        <f aca="false">IF(OR(A15="",B15=""),"",(B15-A15)*1440)</f>
        <v>145</v>
      </c>
      <c r="D15" s="21" t="s">
        <v>69</v>
      </c>
      <c r="E15" s="19" t="s">
        <v>70</v>
      </c>
      <c r="F15" s="20" t="s">
        <v>465</v>
      </c>
    </row>
    <row r="16" customFormat="false" ht="15" hidden="false" customHeight="false" outlineLevel="0" collapsed="false">
      <c r="A16" s="7" t="n">
        <v>0.645833333333333</v>
      </c>
      <c r="B16" s="7" t="n">
        <v>0.677083333333333</v>
      </c>
      <c r="C16" s="17" t="n">
        <f aca="false">IF(OR(A16="",B16=""),"",(B16-A16)*1440)</f>
        <v>45</v>
      </c>
      <c r="D16" s="18" t="s">
        <v>66</v>
      </c>
      <c r="E16" s="24" t="s">
        <v>102</v>
      </c>
      <c r="F16" s="20" t="s">
        <v>466</v>
      </c>
    </row>
    <row r="17" customFormat="false" ht="15" hidden="false" customHeight="false" outlineLevel="0" collapsed="false">
      <c r="A17" s="7" t="n">
        <v>0.65625</v>
      </c>
      <c r="B17" s="7" t="n">
        <v>0.677083333333333</v>
      </c>
      <c r="C17" s="17" t="n">
        <f aca="false">IF(OR(A17="",B17=""),"",(B17-A17)*1440)</f>
        <v>30</v>
      </c>
      <c r="D17" s="21" t="s">
        <v>69</v>
      </c>
      <c r="E17" s="19" t="s">
        <v>322</v>
      </c>
      <c r="F17" s="20" t="s">
        <v>323</v>
      </c>
    </row>
    <row r="18" customFormat="false" ht="15" hidden="false" customHeight="false" outlineLevel="0" collapsed="false">
      <c r="A18" s="7" t="n">
        <v>0.677083333333333</v>
      </c>
      <c r="B18" s="7" t="n">
        <v>0.6875</v>
      </c>
      <c r="C18" s="17" t="n">
        <f aca="false">IF(OR(A18="",B18=""),"",(B18-A18)*1440)</f>
        <v>15</v>
      </c>
      <c r="D18" s="21" t="s">
        <v>69</v>
      </c>
      <c r="E18" s="19" t="s">
        <v>324</v>
      </c>
      <c r="F18" s="20"/>
    </row>
    <row r="19" customFormat="false" ht="15" hidden="false" customHeight="false" outlineLevel="0" collapsed="false">
      <c r="A19" s="7" t="n">
        <v>0.6875</v>
      </c>
      <c r="B19" s="7" t="n">
        <v>0.697222222222222</v>
      </c>
      <c r="C19" s="17" t="n">
        <f aca="false">IF(OR(A19="",B19=""),"",(B19-A19)*1440)</f>
        <v>14</v>
      </c>
      <c r="D19" s="21" t="s">
        <v>69</v>
      </c>
      <c r="E19" s="19" t="s">
        <v>325</v>
      </c>
      <c r="F19" s="22" t="s">
        <v>467</v>
      </c>
    </row>
    <row r="20" customFormat="false" ht="15" hidden="false" customHeight="false" outlineLevel="0" collapsed="false">
      <c r="A20" s="7" t="n">
        <v>0.697916666666667</v>
      </c>
      <c r="B20" s="7" t="n">
        <v>0.875</v>
      </c>
      <c r="C20" s="17" t="n">
        <f aca="false">IF(OR(A20="",B20=""),"",(B20-A20)*1440)</f>
        <v>255</v>
      </c>
      <c r="D20" s="26" t="s">
        <v>104</v>
      </c>
      <c r="E20" s="19" t="s">
        <v>327</v>
      </c>
      <c r="F20" s="22" t="s">
        <v>468</v>
      </c>
    </row>
    <row r="21" customFormat="false" ht="15" hidden="false" customHeight="false" outlineLevel="0" collapsed="false">
      <c r="A21" s="7" t="n">
        <v>0.880555555555556</v>
      </c>
      <c r="B21" s="7" t="n">
        <v>0.890972222222222</v>
      </c>
      <c r="C21" s="17" t="n">
        <f aca="false">IF(OR(A21="",B21=""),"",(B21-A21)*1440)</f>
        <v>15</v>
      </c>
      <c r="D21" s="21" t="s">
        <v>69</v>
      </c>
      <c r="E21" s="19" t="s">
        <v>330</v>
      </c>
      <c r="F21" s="22" t="s">
        <v>469</v>
      </c>
    </row>
    <row r="22" customFormat="false" ht="15" hidden="false" customHeight="false" outlineLevel="0" collapsed="false">
      <c r="A22" s="7" t="n">
        <v>0.890972222222222</v>
      </c>
      <c r="B22" s="7" t="n">
        <v>0.895833333333333</v>
      </c>
      <c r="C22" s="17" t="n">
        <f aca="false">IF(OR(A22="",B22=""),"",(B22-A22)*1440)</f>
        <v>7</v>
      </c>
      <c r="D22" s="21" t="s">
        <v>69</v>
      </c>
      <c r="E22" s="19" t="s">
        <v>332</v>
      </c>
      <c r="F22" s="20"/>
    </row>
    <row r="23" customFormat="false" ht="15" hidden="false" customHeight="false" outlineLevel="0" collapsed="false">
      <c r="A23" s="6"/>
      <c r="B23" s="6"/>
      <c r="C23" s="17" t="str">
        <f aca="false">IF(OR(A23="",B23=""),"",(B23-A23)*1440)</f>
        <v/>
      </c>
      <c r="D23" s="18" t="s">
        <v>66</v>
      </c>
      <c r="E23" s="19" t="s">
        <v>333</v>
      </c>
      <c r="F23" s="20" t="s">
        <v>320</v>
      </c>
    </row>
    <row r="25" customFormat="false" ht="15" hidden="false" customHeight="false" outlineLevel="0" collapsed="false">
      <c r="A25" s="27" t="s">
        <v>374</v>
      </c>
      <c r="C25" s="28" t="str">
        <f aca="false">TEXT(MIN(A5:A23),"hh:mm")&amp;" ~ "&amp;TEXT(MAX(B5:B23),"hh:mm")</f>
        <v>07:45 ~ 21:30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38"/>
    <col collapsed="false" customWidth="true" hidden="false" outlineLevel="0" max="6" min="6" style="0" width="62"/>
  </cols>
  <sheetData>
    <row r="1" customFormat="false" ht="27.75" hidden="false" customHeight="true" outlineLevel="0" collapsed="false">
      <c r="A1" s="14" t="s">
        <v>470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2" t="s">
        <v>45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360</v>
      </c>
    </row>
    <row r="5" customFormat="false" ht="15" hidden="false" customHeight="false" outlineLevel="0" collapsed="false">
      <c r="A5" s="6"/>
      <c r="B5" s="6"/>
      <c r="C5" s="17" t="str">
        <f aca="false">IF(OR(A5="",B5=""),"",(B5-A5)*1440)</f>
        <v/>
      </c>
      <c r="D5" s="18" t="s">
        <v>66</v>
      </c>
      <c r="E5" s="19" t="s">
        <v>67</v>
      </c>
      <c r="F5" s="20" t="s">
        <v>320</v>
      </c>
    </row>
    <row r="6" customFormat="false" ht="15" hidden="false" customHeight="false" outlineLevel="0" collapsed="false">
      <c r="A6" s="7" t="n">
        <v>0.354166666666667</v>
      </c>
      <c r="B6" s="7" t="n">
        <v>0.368055555555556</v>
      </c>
      <c r="C6" s="17" t="n">
        <f aca="false">IF(OR(A6="",B6=""),"",(B6-A6)*1440)</f>
        <v>20</v>
      </c>
      <c r="D6" s="21" t="s">
        <v>69</v>
      </c>
      <c r="E6" s="19" t="s">
        <v>334</v>
      </c>
      <c r="F6" s="22" t="s">
        <v>471</v>
      </c>
    </row>
    <row r="7" customFormat="false" ht="15" hidden="false" customHeight="false" outlineLevel="0" collapsed="false">
      <c r="A7" s="7" t="n">
        <v>0.368055555555556</v>
      </c>
      <c r="B7" s="7" t="n">
        <v>0.395833333333333</v>
      </c>
      <c r="C7" s="17" t="n">
        <f aca="false">IF(OR(A7="",B7=""),"",(B7-A7)*1440)</f>
        <v>40</v>
      </c>
      <c r="D7" s="25" t="s">
        <v>80</v>
      </c>
      <c r="E7" s="19" t="s">
        <v>221</v>
      </c>
      <c r="F7" s="22" t="s">
        <v>472</v>
      </c>
    </row>
    <row r="8" customFormat="false" ht="15" hidden="false" customHeight="false" outlineLevel="0" collapsed="false">
      <c r="A8" s="7" t="n">
        <v>0.392361111111111</v>
      </c>
      <c r="B8" s="7" t="n">
        <v>0.399305555555556</v>
      </c>
      <c r="C8" s="17" t="n">
        <f aca="false">IF(OR(A8="",B8=""),"",(B8-A8)*1440)</f>
        <v>10</v>
      </c>
      <c r="D8" s="23" t="s">
        <v>73</v>
      </c>
      <c r="E8" s="19" t="s">
        <v>339</v>
      </c>
      <c r="F8" s="22" t="s">
        <v>340</v>
      </c>
    </row>
    <row r="9" customFormat="false" ht="15" hidden="false" customHeight="false" outlineLevel="0" collapsed="false">
      <c r="A9" s="7" t="n">
        <v>0.399305555555556</v>
      </c>
      <c r="B9" s="7" t="n">
        <v>0.413194444444444</v>
      </c>
      <c r="C9" s="17" t="n">
        <f aca="false">IF(OR(A9="",B9=""),"",(B9-A9)*1440)</f>
        <v>20</v>
      </c>
      <c r="D9" s="25" t="s">
        <v>80</v>
      </c>
      <c r="E9" s="19" t="s">
        <v>341</v>
      </c>
      <c r="F9" s="22" t="s">
        <v>335</v>
      </c>
    </row>
    <row r="10" customFormat="false" ht="15" hidden="false" customHeight="false" outlineLevel="0" collapsed="false">
      <c r="A10" s="7" t="n">
        <v>0.413194444444444</v>
      </c>
      <c r="B10" s="7" t="n">
        <v>0.420138888888889</v>
      </c>
      <c r="C10" s="17" t="n">
        <f aca="false">IF(OR(A10="",B10=""),"",(B10-A10)*1440)</f>
        <v>10</v>
      </c>
      <c r="D10" s="23" t="s">
        <v>73</v>
      </c>
      <c r="E10" s="19" t="s">
        <v>339</v>
      </c>
      <c r="F10" s="22" t="s">
        <v>342</v>
      </c>
    </row>
    <row r="11" customFormat="false" ht="29.85" hidden="false" customHeight="false" outlineLevel="0" collapsed="false">
      <c r="A11" s="7" t="n">
        <v>0.423611111111111</v>
      </c>
      <c r="B11" s="7" t="n">
        <v>0.465277777777778</v>
      </c>
      <c r="C11" s="17" t="n">
        <f aca="false">IF(OR(A11="",B11=""),"",(B11-A11)*1440)</f>
        <v>60</v>
      </c>
      <c r="D11" s="26" t="s">
        <v>104</v>
      </c>
      <c r="E11" s="19" t="s">
        <v>343</v>
      </c>
      <c r="F11" s="22" t="s">
        <v>473</v>
      </c>
    </row>
    <row r="12" customFormat="false" ht="29.85" hidden="false" customHeight="false" outlineLevel="0" collapsed="false">
      <c r="A12" s="7" t="n">
        <v>0.465277777777778</v>
      </c>
      <c r="B12" s="7" t="n">
        <v>0.506944444444444</v>
      </c>
      <c r="C12" s="17" t="n">
        <f aca="false">IF(OR(A12="",B12=""),"",(B12-A12)*1440)</f>
        <v>60</v>
      </c>
      <c r="D12" s="26" t="s">
        <v>104</v>
      </c>
      <c r="E12" s="19" t="s">
        <v>343</v>
      </c>
      <c r="F12" s="22" t="s">
        <v>474</v>
      </c>
    </row>
    <row r="13" customFormat="false" ht="15" hidden="false" customHeight="false" outlineLevel="0" collapsed="false">
      <c r="A13" s="7" t="n">
        <v>0.506944444444444</v>
      </c>
      <c r="B13" s="7" t="n">
        <v>0.541666666666667</v>
      </c>
      <c r="C13" s="17" t="n">
        <f aca="false">IF(OR(A13="",B13=""),"",(B13-A13)*1440)</f>
        <v>50</v>
      </c>
      <c r="D13" s="25" t="s">
        <v>80</v>
      </c>
      <c r="E13" s="19" t="s">
        <v>346</v>
      </c>
      <c r="F13" s="22" t="s">
        <v>335</v>
      </c>
    </row>
    <row r="14" customFormat="false" ht="15" hidden="false" customHeight="false" outlineLevel="0" collapsed="false">
      <c r="A14" s="7" t="n">
        <v>0.541666666666667</v>
      </c>
      <c r="B14" s="7" t="n">
        <v>0.555555555555556</v>
      </c>
      <c r="C14" s="17" t="n">
        <f aca="false">IF(OR(A14="",B14=""),"",(B14-A14)*1440)</f>
        <v>20</v>
      </c>
      <c r="D14" s="21" t="s">
        <v>69</v>
      </c>
      <c r="E14" s="19" t="s">
        <v>169</v>
      </c>
      <c r="F14" s="20"/>
    </row>
    <row r="15" customFormat="false" ht="15" hidden="false" customHeight="false" outlineLevel="0" collapsed="false">
      <c r="A15" s="7" t="n">
        <v>0.555555555555556</v>
      </c>
      <c r="B15" s="7" t="n">
        <v>0.5625</v>
      </c>
      <c r="C15" s="17" t="n">
        <f aca="false">IF(OR(A15="",B15=""),"",(B15-A15)*1440)</f>
        <v>10</v>
      </c>
      <c r="D15" s="25" t="s">
        <v>80</v>
      </c>
      <c r="E15" s="19" t="s">
        <v>347</v>
      </c>
      <c r="F15" s="20" t="s">
        <v>320</v>
      </c>
    </row>
    <row r="16" customFormat="false" ht="15" hidden="false" customHeight="false" outlineLevel="0" collapsed="false">
      <c r="A16" s="7" t="n">
        <v>0.5625</v>
      </c>
      <c r="B16" s="7" t="n">
        <v>0.582638888888889</v>
      </c>
      <c r="C16" s="17" t="n">
        <f aca="false">IF(OR(A16="",B16=""),"",(B16-A16)*1440)</f>
        <v>29</v>
      </c>
      <c r="D16" s="21" t="s">
        <v>69</v>
      </c>
      <c r="E16" s="19" t="s">
        <v>348</v>
      </c>
      <c r="F16" s="20"/>
    </row>
    <row r="17" customFormat="false" ht="29.85" hidden="false" customHeight="false" outlineLevel="0" collapsed="false">
      <c r="A17" s="7" t="n">
        <v>0.582638888888889</v>
      </c>
      <c r="B17" s="7" t="n">
        <v>0.586805555555556</v>
      </c>
      <c r="C17" s="17" t="n">
        <f aca="false">IF(OR(A17="",B17=""),"",(B17-A17)*1440)</f>
        <v>6</v>
      </c>
      <c r="D17" s="21" t="s">
        <v>69</v>
      </c>
      <c r="E17" s="19" t="s">
        <v>349</v>
      </c>
      <c r="F17" s="22" t="s">
        <v>475</v>
      </c>
    </row>
    <row r="18" customFormat="false" ht="15" hidden="false" customHeight="false" outlineLevel="0" collapsed="false">
      <c r="A18" s="7" t="n">
        <v>0.586805555555556</v>
      </c>
      <c r="B18" s="7" t="n">
        <v>0.597222222222222</v>
      </c>
      <c r="C18" s="17" t="n">
        <f aca="false">IF(OR(A18="",B18=""),"",(B18-A18)*1440)</f>
        <v>15</v>
      </c>
      <c r="D18" s="21" t="s">
        <v>69</v>
      </c>
      <c r="E18" s="19" t="s">
        <v>352</v>
      </c>
      <c r="F18" s="20" t="s">
        <v>353</v>
      </c>
    </row>
    <row r="19" customFormat="false" ht="15" hidden="false" customHeight="false" outlineLevel="0" collapsed="false">
      <c r="A19" s="7" t="n">
        <v>0.597222222222222</v>
      </c>
      <c r="B19" s="7" t="n">
        <v>0.680555555555556</v>
      </c>
      <c r="C19" s="17" t="n">
        <f aca="false">IF(OR(A19="",B19=""),"",(B19-A19)*1440)</f>
        <v>120</v>
      </c>
      <c r="D19" s="23" t="s">
        <v>73</v>
      </c>
      <c r="E19" s="19" t="s">
        <v>354</v>
      </c>
      <c r="F19" s="22" t="s">
        <v>82</v>
      </c>
    </row>
    <row r="20" customFormat="false" ht="15" hidden="false" customHeight="false" outlineLevel="0" collapsed="false">
      <c r="A20" s="7" t="n">
        <v>0.680555555555556</v>
      </c>
      <c r="B20" s="7" t="n">
        <v>0.791666666666667</v>
      </c>
      <c r="C20" s="17" t="n">
        <f aca="false">IF(OR(A20="",B20=""),"",(B20-A20)*1440)</f>
        <v>160</v>
      </c>
      <c r="D20" s="21" t="s">
        <v>69</v>
      </c>
      <c r="E20" s="19" t="s">
        <v>77</v>
      </c>
      <c r="F20" s="20" t="s">
        <v>476</v>
      </c>
    </row>
    <row r="21" customFormat="false" ht="15" hidden="false" customHeight="false" outlineLevel="0" collapsed="false">
      <c r="A21" s="6"/>
      <c r="B21" s="6"/>
      <c r="C21" s="17" t="str">
        <f aca="false">IF(OR(A21="",B21=""),"",(B21-A21)*1440)</f>
        <v/>
      </c>
      <c r="D21" s="25" t="s">
        <v>80</v>
      </c>
      <c r="E21" s="19" t="s">
        <v>81</v>
      </c>
      <c r="F21" s="22" t="s">
        <v>357</v>
      </c>
    </row>
    <row r="22" customFormat="false" ht="15" hidden="false" customHeight="false" outlineLevel="0" collapsed="false">
      <c r="A22" s="6"/>
      <c r="B22" s="6"/>
      <c r="C22" s="17" t="str">
        <f aca="false">IF(OR(A22="",B22=""),"",(B22-A22)*1440)</f>
        <v/>
      </c>
      <c r="D22" s="21" t="s">
        <v>69</v>
      </c>
      <c r="E22" s="19" t="s">
        <v>70</v>
      </c>
      <c r="F22" s="20"/>
    </row>
    <row r="23" customFormat="false" ht="15" hidden="false" customHeight="false" outlineLevel="0" collapsed="false">
      <c r="A23" s="6"/>
      <c r="B23" s="6"/>
      <c r="C23" s="17" t="str">
        <f aca="false">IF(OR(A23="",B23=""),"",(B23-A23)*1440)</f>
        <v/>
      </c>
      <c r="D23" s="21" t="s">
        <v>69</v>
      </c>
      <c r="E23" s="19" t="s">
        <v>447</v>
      </c>
      <c r="F23" s="22" t="s">
        <v>358</v>
      </c>
    </row>
    <row r="25" customFormat="false" ht="15" hidden="false" customHeight="false" outlineLevel="0" collapsed="false">
      <c r="A25" s="27" t="s">
        <v>374</v>
      </c>
      <c r="C25" s="28" t="str">
        <f aca="false">TEXT(MIN(A5:A23),"hh:mm")&amp;" ~ "&amp;TEXT(MAX(B5:B23),"hh:mm")</f>
        <v>08:30 ~ 19:00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6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14" t="s">
        <v>477</v>
      </c>
      <c r="B1" s="14"/>
      <c r="C1" s="14"/>
      <c r="D1" s="14"/>
      <c r="E1" s="14"/>
      <c r="F1" s="14"/>
      <c r="G1" s="14"/>
      <c r="H1" s="14"/>
      <c r="I1" s="14"/>
    </row>
    <row r="2" customFormat="false" ht="15.75" hidden="false" customHeight="true" outlineLevel="0" collapsed="false">
      <c r="A2" s="2" t="s">
        <v>478</v>
      </c>
      <c r="B2" s="2"/>
      <c r="C2" s="2"/>
      <c r="D2" s="2"/>
      <c r="E2" s="2"/>
      <c r="F2" s="2"/>
      <c r="G2" s="2"/>
      <c r="H2" s="2"/>
      <c r="I2" s="2"/>
    </row>
    <row r="4" customFormat="false" ht="33.75" hidden="false" customHeight="true" outlineLevel="0" collapsed="false">
      <c r="A4" s="3" t="s">
        <v>479</v>
      </c>
      <c r="B4" s="3" t="s">
        <v>480</v>
      </c>
      <c r="C4" s="3" t="s">
        <v>481</v>
      </c>
      <c r="D4" s="3" t="s">
        <v>482</v>
      </c>
      <c r="E4" s="3" t="s">
        <v>483</v>
      </c>
      <c r="F4" s="3" t="s">
        <v>484</v>
      </c>
      <c r="G4" s="3" t="s">
        <v>485</v>
      </c>
      <c r="H4" s="3" t="s">
        <v>486</v>
      </c>
      <c r="I4" s="3" t="s">
        <v>487</v>
      </c>
    </row>
    <row r="5" customFormat="false" ht="30" hidden="false" customHeight="true" outlineLevel="0" collapsed="false">
      <c r="A5" s="29" t="s">
        <v>488</v>
      </c>
      <c r="B5" s="30" t="s">
        <v>489</v>
      </c>
      <c r="C5" s="30" t="s">
        <v>490</v>
      </c>
      <c r="D5" s="30" t="s">
        <v>490</v>
      </c>
      <c r="E5" s="30" t="s">
        <v>491</v>
      </c>
      <c r="F5" s="30" t="s">
        <v>491</v>
      </c>
      <c r="G5" s="30" t="s">
        <v>492</v>
      </c>
      <c r="H5" s="30" t="s">
        <v>493</v>
      </c>
    </row>
    <row r="6" customFormat="false" ht="30" hidden="false" customHeight="true" outlineLevel="0" collapsed="false">
      <c r="A6" s="29" t="s">
        <v>494</v>
      </c>
      <c r="B6" s="30" t="s">
        <v>495</v>
      </c>
      <c r="C6" s="30" t="s">
        <v>496</v>
      </c>
      <c r="D6" s="30" t="s">
        <v>496</v>
      </c>
      <c r="E6" s="30" t="s">
        <v>497</v>
      </c>
      <c r="F6" s="30" t="s">
        <v>498</v>
      </c>
      <c r="G6" s="30" t="s">
        <v>499</v>
      </c>
      <c r="H6" s="30" t="s">
        <v>500</v>
      </c>
    </row>
    <row r="7" customFormat="false" ht="30" hidden="false" customHeight="true" outlineLevel="0" collapsed="false">
      <c r="A7" s="29" t="s">
        <v>8</v>
      </c>
      <c r="B7" s="31" t="s">
        <v>13</v>
      </c>
      <c r="C7" s="30" t="s">
        <v>18</v>
      </c>
      <c r="D7" s="30" t="s">
        <v>18</v>
      </c>
      <c r="E7" s="31" t="s">
        <v>27</v>
      </c>
      <c r="F7" s="30" t="s">
        <v>32</v>
      </c>
      <c r="G7" s="31" t="s">
        <v>37</v>
      </c>
      <c r="H7" s="31" t="s">
        <v>42</v>
      </c>
    </row>
    <row r="8" customFormat="false" ht="30" hidden="false" customHeight="true" outlineLevel="0" collapsed="false">
      <c r="A8" s="29" t="s">
        <v>501</v>
      </c>
      <c r="B8" s="30" t="s">
        <v>502</v>
      </c>
      <c r="C8" s="30" t="s">
        <v>503</v>
      </c>
      <c r="D8" s="30" t="s">
        <v>503</v>
      </c>
      <c r="E8" s="30" t="s">
        <v>503</v>
      </c>
      <c r="F8" s="30" t="s">
        <v>504</v>
      </c>
      <c r="G8" s="30" t="s">
        <v>505</v>
      </c>
      <c r="H8" s="30" t="s">
        <v>506</v>
      </c>
    </row>
    <row r="9" customFormat="false" ht="30" hidden="false" customHeight="true" outlineLevel="0" collapsed="false">
      <c r="A9" s="29" t="s">
        <v>507</v>
      </c>
      <c r="B9" s="30" t="s">
        <v>112</v>
      </c>
      <c r="C9" s="30" t="s">
        <v>508</v>
      </c>
      <c r="D9" s="30" t="s">
        <v>508</v>
      </c>
      <c r="E9" s="30" t="s">
        <v>509</v>
      </c>
      <c r="F9" s="30" t="s">
        <v>112</v>
      </c>
      <c r="G9" s="30" t="s">
        <v>510</v>
      </c>
      <c r="H9" s="30" t="s">
        <v>112</v>
      </c>
    </row>
    <row r="10" customFormat="false" ht="30" hidden="false" customHeight="true" outlineLevel="0" collapsed="false">
      <c r="A10" s="29" t="s">
        <v>73</v>
      </c>
      <c r="B10" s="31"/>
      <c r="C10" s="30" t="s">
        <v>511</v>
      </c>
      <c r="D10" s="30" t="s">
        <v>511</v>
      </c>
      <c r="E10" s="31"/>
      <c r="F10" s="30" t="s">
        <v>512</v>
      </c>
      <c r="G10" s="31"/>
      <c r="H10" s="31"/>
    </row>
    <row r="11" customFormat="false" ht="30" hidden="false" customHeight="true" outlineLevel="0" collapsed="false">
      <c r="A11" s="29" t="s">
        <v>513</v>
      </c>
      <c r="B11" s="31" t="s">
        <v>514</v>
      </c>
      <c r="C11" s="31" t="s">
        <v>514</v>
      </c>
      <c r="D11" s="31" t="s">
        <v>514</v>
      </c>
      <c r="E11" s="31" t="s">
        <v>515</v>
      </c>
      <c r="F11" s="31" t="s">
        <v>516</v>
      </c>
      <c r="G11" s="31" t="s">
        <v>517</v>
      </c>
      <c r="H11" s="31" t="s">
        <v>518</v>
      </c>
    </row>
    <row r="12" customFormat="false" ht="30" hidden="false" customHeight="true" outlineLevel="0" collapsed="false">
      <c r="A12" s="29" t="s">
        <v>519</v>
      </c>
      <c r="B12" s="32" t="n">
        <v>4750</v>
      </c>
      <c r="C12" s="32" t="n">
        <v>8891</v>
      </c>
      <c r="D12" s="32"/>
      <c r="E12" s="32" t="n">
        <v>4815</v>
      </c>
      <c r="F12" s="32" t="n">
        <v>10477</v>
      </c>
      <c r="G12" s="32" t="n">
        <v>3449</v>
      </c>
      <c r="H12" s="32" t="n">
        <v>4437</v>
      </c>
      <c r="I12" s="33" t="n">
        <f aca="false">SUM(B12:H12)</f>
        <v>36819</v>
      </c>
    </row>
    <row r="13" customFormat="false" ht="30" hidden="false" customHeight="true" outlineLevel="0" collapsed="false">
      <c r="A13" s="29" t="s">
        <v>520</v>
      </c>
      <c r="B13" s="31" t="s">
        <v>521</v>
      </c>
      <c r="C13" s="31" t="s">
        <v>522</v>
      </c>
      <c r="D13" s="31" t="s">
        <v>522</v>
      </c>
      <c r="E13" s="31" t="s">
        <v>521</v>
      </c>
      <c r="F13" s="31" t="s">
        <v>522</v>
      </c>
      <c r="G13" s="31" t="s">
        <v>522</v>
      </c>
      <c r="H13" s="31" t="s">
        <v>521</v>
      </c>
    </row>
    <row r="14" customFormat="false" ht="30" hidden="false" customHeight="true" outlineLevel="0" collapsed="false">
      <c r="A14" s="29" t="s">
        <v>523</v>
      </c>
      <c r="B14" s="31" t="s">
        <v>524</v>
      </c>
      <c r="C14" s="31" t="s">
        <v>524</v>
      </c>
      <c r="D14" s="31" t="s">
        <v>524</v>
      </c>
      <c r="E14" s="31" t="s">
        <v>524</v>
      </c>
      <c r="F14" s="31" t="s">
        <v>525</v>
      </c>
      <c r="G14" s="31" t="s">
        <v>525</v>
      </c>
      <c r="H14" s="31" t="s">
        <v>524</v>
      </c>
    </row>
    <row r="16" customFormat="false" ht="14.15" hidden="false" customHeight="false" outlineLevel="0" collapsed="false">
      <c r="A16" s="2" t="s">
        <v>526</v>
      </c>
      <c r="B16" s="2"/>
      <c r="C16" s="2"/>
      <c r="D16" s="2"/>
      <c r="E16" s="2"/>
      <c r="F16" s="2"/>
      <c r="G16" s="2"/>
      <c r="H16" s="2"/>
      <c r="I16" s="2"/>
    </row>
  </sheetData>
  <mergeCells count="3">
    <mergeCell ref="A1:I1"/>
    <mergeCell ref="A2:I2"/>
    <mergeCell ref="A16:I16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8"/>
  </cols>
  <sheetData>
    <row r="1" customFormat="false" ht="27.75" hidden="false" customHeight="true" outlineLevel="0" collapsed="false">
      <c r="A1" s="14" t="s">
        <v>527</v>
      </c>
      <c r="B1" s="14"/>
      <c r="C1" s="14"/>
      <c r="D1" s="14"/>
      <c r="E1" s="14"/>
      <c r="F1" s="14"/>
      <c r="G1" s="14"/>
      <c r="H1" s="14"/>
      <c r="I1" s="14"/>
    </row>
    <row r="2" customFormat="false" ht="15.75" hidden="false" customHeight="true" outlineLevel="0" collapsed="false">
      <c r="A2" s="2" t="s">
        <v>528</v>
      </c>
      <c r="B2" s="2"/>
      <c r="C2" s="2"/>
      <c r="D2" s="2"/>
      <c r="E2" s="2"/>
      <c r="F2" s="2"/>
      <c r="G2" s="2"/>
      <c r="H2" s="2"/>
      <c r="I2" s="2"/>
    </row>
    <row r="4" customFormat="false" ht="33.75" hidden="false" customHeight="true" outlineLevel="0" collapsed="false">
      <c r="A4" s="3" t="s">
        <v>529</v>
      </c>
      <c r="B4" s="3" t="s">
        <v>480</v>
      </c>
      <c r="C4" s="3" t="s">
        <v>481</v>
      </c>
      <c r="D4" s="3" t="s">
        <v>482</v>
      </c>
      <c r="E4" s="3" t="s">
        <v>483</v>
      </c>
      <c r="F4" s="3" t="s">
        <v>484</v>
      </c>
      <c r="G4" s="3" t="s">
        <v>485</v>
      </c>
      <c r="H4" s="3" t="s">
        <v>486</v>
      </c>
      <c r="I4" s="3" t="s">
        <v>530</v>
      </c>
    </row>
    <row r="5" customFormat="false" ht="45.75" hidden="false" customHeight="true" outlineLevel="0" collapsed="false">
      <c r="A5" s="34" t="s">
        <v>501</v>
      </c>
      <c r="B5" s="30" t="s">
        <v>531</v>
      </c>
      <c r="C5" s="30" t="s">
        <v>532</v>
      </c>
      <c r="D5" s="30" t="s">
        <v>533</v>
      </c>
      <c r="E5" s="30" t="s">
        <v>534</v>
      </c>
      <c r="F5" s="30" t="s">
        <v>535</v>
      </c>
      <c r="G5" s="30" t="s">
        <v>536</v>
      </c>
      <c r="H5" s="30" t="s">
        <v>537</v>
      </c>
      <c r="I5" s="30" t="s">
        <v>538</v>
      </c>
    </row>
    <row r="6" customFormat="false" ht="45.75" hidden="false" customHeight="true" outlineLevel="0" collapsed="false">
      <c r="A6" s="34" t="s">
        <v>539</v>
      </c>
      <c r="B6" s="30" t="s">
        <v>540</v>
      </c>
      <c r="C6" s="30" t="s">
        <v>541</v>
      </c>
      <c r="D6" s="30" t="s">
        <v>542</v>
      </c>
      <c r="E6" s="30" t="s">
        <v>543</v>
      </c>
      <c r="F6" s="30" t="s">
        <v>544</v>
      </c>
      <c r="G6" s="30" t="s">
        <v>545</v>
      </c>
      <c r="H6" s="30" t="s">
        <v>546</v>
      </c>
      <c r="I6" s="30" t="s">
        <v>538</v>
      </c>
    </row>
    <row r="7" customFormat="false" ht="45.75" hidden="false" customHeight="true" outlineLevel="0" collapsed="false">
      <c r="A7" s="34" t="s">
        <v>547</v>
      </c>
      <c r="B7" s="31"/>
      <c r="C7" s="31"/>
      <c r="D7" s="31"/>
      <c r="E7" s="30" t="s">
        <v>548</v>
      </c>
      <c r="F7" s="31"/>
      <c r="G7" s="30" t="s">
        <v>549</v>
      </c>
      <c r="H7" s="31"/>
      <c r="I7" s="31"/>
    </row>
    <row r="8" customFormat="false" ht="45.75" hidden="false" customHeight="true" outlineLevel="0" collapsed="false">
      <c r="A8" s="34" t="s">
        <v>550</v>
      </c>
      <c r="B8" s="30" t="s">
        <v>551</v>
      </c>
      <c r="C8" s="30" t="s">
        <v>552</v>
      </c>
      <c r="D8" s="30" t="s">
        <v>553</v>
      </c>
      <c r="E8" s="30" t="s">
        <v>554</v>
      </c>
      <c r="F8" s="30" t="s">
        <v>554</v>
      </c>
      <c r="G8" s="30" t="s">
        <v>555</v>
      </c>
      <c r="H8" s="31" t="s">
        <v>556</v>
      </c>
      <c r="I8" s="30" t="s">
        <v>531</v>
      </c>
    </row>
  </sheetData>
  <mergeCells count="2">
    <mergeCell ref="A1:I1"/>
    <mergeCell ref="A2:I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58"/>
    <col collapsed="false" customWidth="true" hidden="false" outlineLevel="0" max="6" min="5" style="0" width="14"/>
  </cols>
  <sheetData>
    <row r="1" customFormat="false" ht="27.75" hidden="false" customHeight="true" outlineLevel="0" collapsed="false">
      <c r="A1" s="14" t="s">
        <v>557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2" t="s">
        <v>558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559</v>
      </c>
      <c r="D4" s="3" t="s">
        <v>560</v>
      </c>
      <c r="E4" s="3" t="s">
        <v>561</v>
      </c>
      <c r="F4" s="3" t="s">
        <v>562</v>
      </c>
    </row>
    <row r="5" customFormat="false" ht="15" hidden="false" customHeight="false" outlineLevel="0" collapsed="false">
      <c r="A5" s="6" t="n">
        <v>1</v>
      </c>
      <c r="B5" s="35" t="n">
        <v>46130</v>
      </c>
      <c r="C5" s="19" t="s">
        <v>92</v>
      </c>
      <c r="D5" s="22" t="s">
        <v>93</v>
      </c>
      <c r="E5" s="36"/>
      <c r="F5" s="37"/>
    </row>
    <row r="6" customFormat="false" ht="15" hidden="false" customHeight="false" outlineLevel="0" collapsed="false">
      <c r="A6" s="6" t="n">
        <v>1</v>
      </c>
      <c r="B6" s="35" t="n">
        <v>46130</v>
      </c>
      <c r="C6" s="19" t="s">
        <v>106</v>
      </c>
      <c r="D6" s="22" t="s">
        <v>107</v>
      </c>
      <c r="E6" s="36"/>
      <c r="F6" s="37"/>
    </row>
    <row r="7" customFormat="false" ht="15" hidden="false" customHeight="false" outlineLevel="0" collapsed="false">
      <c r="A7" s="6" t="n">
        <v>2</v>
      </c>
      <c r="B7" s="35" t="n">
        <v>46131</v>
      </c>
      <c r="C7" s="19" t="s">
        <v>129</v>
      </c>
      <c r="D7" s="22" t="s">
        <v>130</v>
      </c>
      <c r="E7" s="36"/>
      <c r="F7" s="37"/>
    </row>
    <row r="8" customFormat="false" ht="15" hidden="false" customHeight="false" outlineLevel="0" collapsed="false">
      <c r="A8" s="6" t="n">
        <v>2</v>
      </c>
      <c r="B8" s="35" t="n">
        <v>46131</v>
      </c>
      <c r="C8" s="19" t="s">
        <v>136</v>
      </c>
      <c r="D8" s="22" t="s">
        <v>137</v>
      </c>
      <c r="E8" s="36"/>
      <c r="F8" s="37"/>
    </row>
    <row r="9" customFormat="false" ht="15" hidden="false" customHeight="false" outlineLevel="0" collapsed="false">
      <c r="A9" s="6" t="n">
        <v>2</v>
      </c>
      <c r="B9" s="35" t="n">
        <v>46131</v>
      </c>
      <c r="C9" s="19" t="s">
        <v>140</v>
      </c>
      <c r="D9" s="22" t="s">
        <v>141</v>
      </c>
      <c r="E9" s="36"/>
      <c r="F9" s="37"/>
    </row>
    <row r="10" customFormat="false" ht="29.85" hidden="false" customHeight="false" outlineLevel="0" collapsed="false">
      <c r="A10" s="6" t="n">
        <v>3</v>
      </c>
      <c r="B10" s="35" t="n">
        <v>46132</v>
      </c>
      <c r="C10" s="19" t="s">
        <v>157</v>
      </c>
      <c r="D10" s="22" t="s">
        <v>160</v>
      </c>
      <c r="E10" s="36"/>
      <c r="F10" s="37"/>
    </row>
    <row r="11" customFormat="false" ht="15" hidden="false" customHeight="false" outlineLevel="0" collapsed="false">
      <c r="A11" s="6" t="n">
        <v>3</v>
      </c>
      <c r="B11" s="35" t="n">
        <v>46132</v>
      </c>
      <c r="C11" s="19" t="s">
        <v>70</v>
      </c>
      <c r="D11" s="22" t="s">
        <v>168</v>
      </c>
      <c r="E11" s="36"/>
      <c r="F11" s="37"/>
    </row>
    <row r="12" customFormat="false" ht="15" hidden="false" customHeight="false" outlineLevel="0" collapsed="false">
      <c r="A12" s="6" t="n">
        <v>3</v>
      </c>
      <c r="B12" s="35" t="n">
        <v>46132</v>
      </c>
      <c r="C12" s="19" t="s">
        <v>169</v>
      </c>
      <c r="D12" s="22" t="s">
        <v>170</v>
      </c>
      <c r="E12" s="36"/>
      <c r="F12" s="37"/>
    </row>
    <row r="13" customFormat="false" ht="15" hidden="false" customHeight="false" outlineLevel="0" collapsed="false">
      <c r="A13" s="6" t="n">
        <v>3</v>
      </c>
      <c r="B13" s="35" t="n">
        <v>46132</v>
      </c>
      <c r="C13" s="19" t="s">
        <v>70</v>
      </c>
      <c r="D13" s="22" t="s">
        <v>182</v>
      </c>
      <c r="E13" s="36"/>
      <c r="F13" s="37"/>
    </row>
    <row r="14" customFormat="false" ht="15" hidden="false" customHeight="false" outlineLevel="0" collapsed="false">
      <c r="A14" s="6" t="n">
        <v>4</v>
      </c>
      <c r="B14" s="35" t="n">
        <v>46133</v>
      </c>
      <c r="C14" s="19" t="s">
        <v>207</v>
      </c>
      <c r="D14" s="22" t="s">
        <v>208</v>
      </c>
      <c r="E14" s="36"/>
      <c r="F14" s="37"/>
    </row>
    <row r="15" customFormat="false" ht="15" hidden="false" customHeight="false" outlineLevel="0" collapsed="false">
      <c r="A15" s="6" t="n">
        <v>4</v>
      </c>
      <c r="B15" s="35" t="n">
        <v>46133</v>
      </c>
      <c r="C15" s="19" t="s">
        <v>70</v>
      </c>
      <c r="D15" s="22" t="s">
        <v>213</v>
      </c>
      <c r="E15" s="36"/>
      <c r="F15" s="37"/>
    </row>
    <row r="16" customFormat="false" ht="15" hidden="false" customHeight="false" outlineLevel="0" collapsed="false">
      <c r="A16" s="6" t="n">
        <v>4</v>
      </c>
      <c r="B16" s="35" t="n">
        <v>46133</v>
      </c>
      <c r="C16" s="19" t="s">
        <v>218</v>
      </c>
      <c r="D16" s="22" t="s">
        <v>219</v>
      </c>
      <c r="E16" s="36"/>
      <c r="F16" s="37"/>
    </row>
    <row r="17" customFormat="false" ht="15" hidden="false" customHeight="false" outlineLevel="0" collapsed="false">
      <c r="A17" s="6" t="n">
        <v>5</v>
      </c>
      <c r="B17" s="35" t="n">
        <v>46134</v>
      </c>
      <c r="C17" s="19" t="s">
        <v>70</v>
      </c>
      <c r="D17" s="22" t="s">
        <v>233</v>
      </c>
      <c r="E17" s="36"/>
      <c r="F17" s="37"/>
    </row>
    <row r="18" customFormat="false" ht="15" hidden="false" customHeight="false" outlineLevel="0" collapsed="false">
      <c r="A18" s="6" t="n">
        <v>5</v>
      </c>
      <c r="B18" s="35" t="n">
        <v>46134</v>
      </c>
      <c r="C18" s="19" t="s">
        <v>235</v>
      </c>
      <c r="D18" s="22" t="s">
        <v>236</v>
      </c>
      <c r="E18" s="36"/>
      <c r="F18" s="37"/>
    </row>
    <row r="19" customFormat="false" ht="15" hidden="false" customHeight="false" outlineLevel="0" collapsed="false">
      <c r="A19" s="6" t="n">
        <v>5</v>
      </c>
      <c r="B19" s="35" t="n">
        <v>46134</v>
      </c>
      <c r="C19" s="19" t="s">
        <v>70</v>
      </c>
      <c r="D19" s="22" t="s">
        <v>246</v>
      </c>
      <c r="E19" s="36"/>
      <c r="F19" s="37"/>
    </row>
    <row r="20" customFormat="false" ht="15" hidden="false" customHeight="false" outlineLevel="0" collapsed="false">
      <c r="A20" s="6" t="n">
        <v>5</v>
      </c>
      <c r="B20" s="35" t="n">
        <v>46134</v>
      </c>
      <c r="C20" s="19" t="s">
        <v>248</v>
      </c>
      <c r="D20" s="22" t="s">
        <v>249</v>
      </c>
      <c r="E20" s="36"/>
      <c r="F20" s="37"/>
    </row>
    <row r="21" customFormat="false" ht="15" hidden="false" customHeight="false" outlineLevel="0" collapsed="false">
      <c r="A21" s="6" t="n">
        <v>5</v>
      </c>
      <c r="B21" s="35" t="n">
        <v>46134</v>
      </c>
      <c r="C21" s="19" t="s">
        <v>253</v>
      </c>
      <c r="D21" s="22" t="s">
        <v>254</v>
      </c>
      <c r="E21" s="36"/>
      <c r="F21" s="37"/>
    </row>
    <row r="22" customFormat="false" ht="15" hidden="false" customHeight="false" outlineLevel="0" collapsed="false">
      <c r="A22" s="6" t="n">
        <v>6</v>
      </c>
      <c r="B22" s="35" t="n">
        <v>46135</v>
      </c>
      <c r="C22" s="19" t="s">
        <v>70</v>
      </c>
      <c r="D22" s="22" t="s">
        <v>274</v>
      </c>
      <c r="E22" s="36"/>
      <c r="F22" s="37"/>
    </row>
    <row r="23" customFormat="false" ht="15" hidden="false" customHeight="false" outlineLevel="0" collapsed="false">
      <c r="A23" s="6" t="n">
        <v>6</v>
      </c>
      <c r="B23" s="35" t="n">
        <v>46135</v>
      </c>
      <c r="C23" s="19" t="s">
        <v>276</v>
      </c>
      <c r="D23" s="22" t="s">
        <v>277</v>
      </c>
      <c r="E23" s="36"/>
      <c r="F23" s="37"/>
    </row>
    <row r="24" customFormat="false" ht="15" hidden="false" customHeight="false" outlineLevel="0" collapsed="false">
      <c r="A24" s="6" t="n">
        <v>6</v>
      </c>
      <c r="B24" s="35" t="n">
        <v>46135</v>
      </c>
      <c r="C24" s="19" t="s">
        <v>283</v>
      </c>
      <c r="D24" s="22" t="s">
        <v>284</v>
      </c>
      <c r="E24" s="36"/>
      <c r="F24" s="37"/>
    </row>
    <row r="25" customFormat="false" ht="15" hidden="false" customHeight="false" outlineLevel="0" collapsed="false">
      <c r="A25" s="6" t="n">
        <v>6</v>
      </c>
      <c r="B25" s="35" t="n">
        <v>46135</v>
      </c>
      <c r="C25" s="19" t="s">
        <v>289</v>
      </c>
      <c r="D25" s="22" t="s">
        <v>277</v>
      </c>
      <c r="E25" s="36"/>
      <c r="F25" s="37"/>
    </row>
    <row r="26" customFormat="false" ht="15" hidden="false" customHeight="false" outlineLevel="0" collapsed="false">
      <c r="A26" s="6" t="n">
        <v>6</v>
      </c>
      <c r="B26" s="35" t="n">
        <v>46135</v>
      </c>
      <c r="C26" s="19" t="s">
        <v>296</v>
      </c>
      <c r="D26" s="22" t="s">
        <v>297</v>
      </c>
      <c r="E26" s="36"/>
      <c r="F26" s="37"/>
    </row>
    <row r="27" customFormat="false" ht="15" hidden="false" customHeight="false" outlineLevel="0" collapsed="false">
      <c r="A27" s="6" t="n">
        <v>7</v>
      </c>
      <c r="B27" s="35" t="n">
        <v>46136</v>
      </c>
      <c r="C27" s="19" t="s">
        <v>314</v>
      </c>
      <c r="D27" s="22" t="s">
        <v>315</v>
      </c>
      <c r="E27" s="36"/>
      <c r="F27" s="37"/>
    </row>
    <row r="28" customFormat="false" ht="15" hidden="false" customHeight="false" outlineLevel="0" collapsed="false">
      <c r="D28" s="38" t="s">
        <v>563</v>
      </c>
      <c r="E28" s="33" t="n">
        <f aca="false">SUM(E5:E27)</f>
        <v>0</v>
      </c>
    </row>
    <row r="30" customFormat="false" ht="15" hidden="false" customHeight="false" outlineLevel="0" collapsed="false">
      <c r="C30" s="39" t="s">
        <v>564</v>
      </c>
      <c r="D30" s="40" t="s">
        <v>565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2026-08-22T09:53:46Z</dcterms:created>
  <dc:creator>openpyxl</dc:creator>
  <dc:description/>
  <dc:language>en-US</dc:language>
  <cp:lastModifiedBy/>
  <dcterms:modified xsi:type="dcterms:W3CDTF">2026-08-22T09:53:47Z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