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esearch\iThome2026\Day30_20260913\"/>
    </mc:Choice>
  </mc:AlternateContent>
  <xr:revisionPtr revIDLastSave="0" documentId="13_ncr:1_{B6374F8D-4324-415C-8E38-6DB1DBC20F2C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30-Days-Topic" sheetId="4" r:id="rId1"/>
    <sheet name="30-Days-Detail" sheetId="3" r:id="rId2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4" i="3" l="1"/>
  <c r="D23" i="3"/>
  <c r="D22" i="3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2" i="4"/>
  <c r="C3" i="4"/>
  <c r="C4" i="4"/>
  <c r="C5" i="4"/>
  <c r="C6" i="4"/>
  <c r="C7" i="4"/>
  <c r="C8" i="4"/>
  <c r="C9" i="4"/>
  <c r="C10" i="4"/>
  <c r="C11" i="4"/>
  <c r="D25" i="3"/>
  <c r="D26" i="3"/>
  <c r="D27" i="3"/>
  <c r="D28" i="3"/>
  <c r="D29" i="3"/>
  <c r="D30" i="3"/>
  <c r="D31" i="3"/>
  <c r="D13" i="3"/>
  <c r="D14" i="3"/>
  <c r="D15" i="3"/>
  <c r="D16" i="3"/>
  <c r="D17" i="3"/>
  <c r="D18" i="3"/>
  <c r="D19" i="3"/>
  <c r="D20" i="3"/>
  <c r="D21" i="3"/>
  <c r="D11" i="3" l="1"/>
  <c r="D12" i="3"/>
  <c r="D10" i="3" l="1"/>
  <c r="D5" i="3"/>
  <c r="D3" i="3"/>
  <c r="D4" i="3"/>
  <c r="D6" i="3"/>
  <c r="D7" i="3"/>
  <c r="D8" i="3"/>
  <c r="D9" i="3"/>
  <c r="D2" i="3"/>
</calcChain>
</file>

<file path=xl/sharedStrings.xml><?xml version="1.0" encoding="utf-8"?>
<sst xmlns="http://schemas.openxmlformats.org/spreadsheetml/2006/main" count="227" uniqueCount="109">
  <si>
    <t>Day</t>
  </si>
  <si>
    <t>階段</t>
  </si>
  <si>
    <t>使用介面</t>
  </si>
  <si>
    <t>總結</t>
  </si>
  <si>
    <t>-</t>
    <phoneticPr fontId="1" type="noConversion"/>
  </si>
  <si>
    <t>利用 ICP 或 NDT 模擬太空中登陸艇降落固體行星表面選擇最佳地點</t>
    <phoneticPr fontId="1" type="noConversion"/>
  </si>
  <si>
    <t>前言</t>
    <phoneticPr fontId="1" type="noConversion"/>
  </si>
  <si>
    <t>基礎說明</t>
    <phoneticPr fontId="1" type="noConversion"/>
  </si>
  <si>
    <t>claude.ai</t>
    <phoneticPr fontId="1" type="noConversion"/>
  </si>
  <si>
    <t>Claude Desktop</t>
    <phoneticPr fontId="1" type="noConversion"/>
  </si>
  <si>
    <t>Office</t>
    <phoneticPr fontId="1" type="noConversion"/>
  </si>
  <si>
    <t>專案主題</t>
    <phoneticPr fontId="1" type="noConversion"/>
  </si>
  <si>
    <t>claude.ai vs Claude Desktop vs Claude Code：記憶機制</t>
    <phoneticPr fontId="1" type="noConversion"/>
  </si>
  <si>
    <t>直接vibe coding要求、根據需求或條件改成更完美的樣子</t>
    <phoneticPr fontId="1" type="noConversion"/>
  </si>
  <si>
    <t>Prj#2 架構專案</t>
  </si>
  <si>
    <t>Prj#3 硬體串接</t>
  </si>
  <si>
    <t>硬體串接 (Mi Band 6 + bleak)</t>
    <phoneticPr fontId="1" type="noConversion"/>
  </si>
  <si>
    <t>Prj#4 個人網頁</t>
    <phoneticPr fontId="1" type="noConversion"/>
  </si>
  <si>
    <t>Prj#1 暖身專案</t>
    <phoneticPr fontId="1" type="noConversion"/>
  </si>
  <si>
    <t>Github Pages</t>
    <phoneticPr fontId="1" type="noConversion"/>
  </si>
  <si>
    <t>整體需求與目標、自我背景簡介</t>
    <phoneticPr fontId="1" type="noConversion"/>
  </si>
  <si>
    <t>更好的提示詞</t>
    <phoneticPr fontId="1" type="noConversion"/>
  </si>
  <si>
    <t>Stock Analysis &amp; Github Pages CD</t>
    <phoneticPr fontId="1" type="noConversion"/>
  </si>
  <si>
    <t>股票相關權限申請</t>
    <phoneticPr fontId="1" type="noConversion"/>
  </si>
  <si>
    <t>內容摘要</t>
    <phoneticPr fontId="1" type="noConversion"/>
  </si>
  <si>
    <t>內容大綱</t>
    <phoneticPr fontId="1" type="noConversion"/>
  </si>
  <si>
    <t>claude.ai</t>
    <phoneticPr fontId="1" type="noConversion"/>
  </si>
  <si>
    <t>HTML 模擬（飛機飛行 / 心理學注意力遊戲 / 腦迴路概念圖）</t>
    <phoneticPr fontId="1" type="noConversion"/>
  </si>
  <si>
    <t>claude.ai</t>
    <phoneticPr fontId="1" type="noConversion"/>
  </si>
  <si>
    <t>claude.ai</t>
    <phoneticPr fontId="1" type="noConversion"/>
  </si>
  <si>
    <t>更好的提示詞
開始用 Agent</t>
    <phoneticPr fontId="1" type="noConversion"/>
  </si>
  <si>
    <t>請 Claude 幫我生成更好的 Gemini Notebook 提示詞去整理財經影片</t>
    <phoneticPr fontId="1" type="noConversion"/>
  </si>
  <si>
    <t>實作挑戰</t>
    <phoneticPr fontId="1" type="noConversion"/>
  </si>
  <si>
    <t>Claude Code
(via VS Code)</t>
    <phoneticPr fontId="1" type="noConversion"/>
  </si>
  <si>
    <t>硬體串接
(Mi Band 6 + bleak)</t>
    <phoneticPr fontId="1" type="noConversion"/>
  </si>
  <si>
    <t>Stock Analysis
&amp;
Github Pages CD</t>
    <phoneticPr fontId="1" type="noConversion"/>
  </si>
  <si>
    <t>Claude Code (via VS Code)</t>
    <phoneticPr fontId="1" type="noConversion"/>
  </si>
  <si>
    <t>硬體串接 (Mi Band 6 + bleak)</t>
  </si>
  <si>
    <t>更好的提示詞&amp;開始用 Agent</t>
    <phoneticPr fontId="1" type="noConversion"/>
  </si>
  <si>
    <t>final 版提示詞收尾（代號查證外包給證交所、字數改分項下限）&amp;Claude in Chrome 初體驗</t>
    <phoneticPr fontId="1" type="noConversion"/>
  </si>
  <si>
    <t>網路與硬體、環境</t>
  </si>
  <si>
    <t>網路與硬體、環境</t>
    <phoneticPr fontId="1" type="noConversion"/>
  </si>
  <si>
    <t>安裝 Claude Desktop、讓WiFi設定更優化、診斷電腦為何變慢、檢查Anaconda環境</t>
    <phoneticPr fontId="1" type="noConversion"/>
  </si>
  <si>
    <t>Word: 模板之建立 / EXCEL: 整理 / PPT: 從 Word 與 EXCEL 幫我做 PPT</t>
    <phoneticPr fontId="1" type="noConversion"/>
  </si>
  <si>
    <t>claude.ai
Claude Desktop</t>
    <phoneticPr fontId="1" type="noConversion"/>
  </si>
  <si>
    <t>claude.ai &amp; Claude Desktop</t>
    <phoneticPr fontId="1" type="noConversion"/>
  </si>
  <si>
    <t>應用程式</t>
    <phoneticPr fontId="1" type="noConversion"/>
  </si>
  <si>
    <t>Agent Skill</t>
    <phoneticPr fontId="1" type="noConversion"/>
  </si>
  <si>
    <t>基礎說明</t>
  </si>
  <si>
    <t>Office</t>
  </si>
  <si>
    <t>應用程式</t>
    <phoneticPr fontId="1" type="noConversion"/>
  </si>
  <si>
    <t>・為何參賽：把散落在三個介面的用法整理成一套可複用的工作流
・我的背景：航太 → 心理與腦科學 → 醫材研發（生理訊號）
・這 30 天要回答的三個問題
・30 天的路線圖，以及讀者需要準備什麼
・能從這裡帶走什麼，還有幾件先講清楚的事</t>
    <phoneticPr fontId="1" type="noConversion"/>
  </si>
  <si>
    <t>・Claude 現在有幾個介面、幾種模式：Surface（Web / Desktop / Mobile / Chrome）× Mode（Chat / Cowork / Code）
・Chat 記憶四層：context window、search past chats、Memory、Project，外加 Incognito
・Cowork 與 Chat 的差異，以及一個很容易被忽略的設定分裂
・Claude Code：CLAUDE.md（寫給它的）vs auto memory（它寫給自己的）；App 版遠端控制的三條路與安全性
・記憶同步矩陣＋三介面分工假說 H1–H3，留待 Day 30 驗證
・橫向對照 ChatGPT／Gemini／Grok／Meta AI，以及腦科學與心理學的記憶模型類比</t>
    <phoneticPr fontId="1" type="noConversion"/>
  </si>
  <si>
    <t>・三個世代 v1 / v2 / v3：對模型的信任程度如何改變
・五項變動：語言、代號、網址、通路格式、重複計票
・沒預期到的退步：v3 刪掉一條自查規則，共識區出現大量無法回溯的歸屬
・三版都沒解決的名稱聽打錯誤
・實測：同一批影片跑三個版本，以及這次實測的限制
・我的四步操作流程，與跨模型協作的三條限制</t>
    <phoneticPr fontId="1" type="noConversion"/>
  </si>
  <si>
    <t>・final 相對 v3 改了什麼
・治好了：查代號外包給證交所、用分項深度換回資訊量
・治不好：共識區，以及為什麼決定停在 final
・真正的問題：衡量改動的那把尺本身就是歪的
・換個場子：Claude in Chrome 的授權與設定
・兩個實驗：跨站比價（價格點要回商品頁驗）、維基百科單頁抓圖</t>
    <phoneticPr fontId="1" type="noConversion"/>
  </si>
  <si>
    <t>・為什麼是 HTML，不是投影片或圖
・三個題目：飛機起降模擬、注意力測驗組、預設模式網路玻璃腦
・三個題目暴露出來的分級
・三個檔案共同的規格：單一自足檔案</t>
    <phoneticPr fontId="1" type="noConversion"/>
  </si>
  <si>
    <t>・那一句話其實已經把題目定死了一半
・Claude 自己補出來的處理管線
・ICP 與 NDT 實際在做的事，以及實作結果與教科書不相符的地方
・三個坑，全部不在提示詞裡
・從地形圖到「降落在哪裡」，最後又是一頁 HTML，但角色不一樣
・跟 Day 05 比，差在可驗證性</t>
    <phoneticPr fontId="1" type="noConversion"/>
  </si>
  <si>
    <t>・先把 Claude Desktop 裝起來，兩次都撞到同一道牆
・編碼踩了兩次，第二次學乖了
・Wi-Fi：訊號滿格、零干擾，然後呢
・打開 Computer Use，撞到一張分層的權限表
・電腦變慢與當機史：假設在第三個數字就被推翻，兇手在沒想過的地方
・Anaconda：把環境裡的 Office 套件先盤點起來</t>
    <phoneticPr fontId="1" type="noConversion"/>
  </si>
  <si>
    <t>・題目與產出檔案
・兩個岔路：檔案在哪裡、先問還是先做
・Word 範本：兩條完全不同的技術路線
・Excel：兩邊都把寬表變長表；PPT：17 頁 vs 16 頁
・人沒看到、機器看到的事：住宿費重複計價差 8,891 元、一格塞了兩筆時間
・schema 過了不代表看起來對，以及兩邊都沒解決的事</t>
    <phoneticPr fontId="1" type="noConversion"/>
  </si>
  <si>
    <t>・Skill 是什麼，以及最小範例
・各介面的預設 Skill 對照：Cowork 的陷阱與名稱衝突的解析順序
・如何在各介面加入自己的 Skill，frontmatter 關鍵欄位速查
・Marketplace：官方／社群／自架，Plugin vs Skill 與安全提醒
・mattpocock/skills 的設計哲學與四大失敗模式
・Model 與 Effort 對 Skill 遵從性的影響、撰寫原則與三個常見誤解</t>
    <phoneticPr fontId="1" type="noConversion"/>
  </si>
  <si>
    <t>使用 Claude Code (Cmd &amp; VS Code) &amp; CLAUDE.md: 全域 vs. 專案 &amp; Session 交接信</t>
    <phoneticPr fontId="1" type="noConversion"/>
  </si>
  <si>
    <t>・兩種安裝：終端機 CLI 與 VS Code 擴充套件，而且不是同一件事
・在 VS Code 裡實際會用到的入口、三個天天用的鍵、改動要經過同意
・為什麼需要一份全域規範
・我這份 CLAUDE.md 的章節導覽（第 0 到第 9 節）
・全域 vs 專案：同一個機制的兩層；第一條規則怎麼長出來的與 LESSONS.md 緩衝層
・為什麼要有 Session 交接信？格式與撰寫時機？</t>
    <phoneticPr fontId="1" type="noConversion"/>
  </si>
  <si>
    <t>小工具製作</t>
    <phoneticPr fontId="1" type="noConversion"/>
  </si>
  <si>
    <t>統計分析程式</t>
    <phoneticPr fontId="1" type="noConversion"/>
  </si>
  <si>
    <t>用 /dataviz 與視覺化、 Bolasso 與回歸統計模型及統計指標</t>
    <phoneticPr fontId="1" type="noConversion"/>
  </si>
  <si>
    <t>AI Vibe Coding、EXCEL欄位選擇與UI設計、統計圖表輸出、實測</t>
    <phoneticPr fontId="1" type="noConversion"/>
  </si>
  <si>
    <t>Prj#3 硬體串接</t>
    <phoneticPr fontId="1" type="noConversion"/>
  </si>
  <si>
    <t>Python bleak 與 BLE GATT 基礎、唯讀界線與可行性評估，一定要 claude code</t>
    <phoneticPr fontId="1" type="noConversion"/>
  </si>
  <si>
    <t>實作結果（CLI／GUI／unit_test／requirements）與 /design 三版 UI 選型</t>
    <phoneticPr fontId="1" type="noConversion"/>
  </si>
  <si>
    <t>・為什麼是這三個工具，而且是這個順序
・image2ico：第一版完全不給專案規則的 vibe coding
・打包：三個專案共用的 .spec 骨架
・webp2image：背景執行緒不能碰 widget
・pdf_compression：檔案終於拆開了
・後來追加的兩個條件，以及它們怎麼變成下一版的規則</t>
    <phoneticPr fontId="1" type="noConversion"/>
  </si>
  <si>
    <t>・為什麼這支程式不能照 Day 13 的做法
・資料來源：一份任何人都能重跑的樣板
・/dataviz：先把資料看過一遍
・Bolasso：讓變項自己去投票
・迴歸模型與統計指標的選擇
・明天要丟出去的那份 prompt</t>
    <phoneticPr fontId="1" type="noConversion"/>
  </si>
  <si>
    <t>・Day 13 換來的五條，這次當起手式
・沒寫進 prompt 的那一條：α 怎麼挑
・Excel 的欄位怎麼走進 UI
・圖表：原本預期用 /dataviz，實際走的是另一條
・跑出來的東西、打包，以及估錯的數字
・沒做到的</t>
    <phoneticPr fontId="1" type="noConversion"/>
  </si>
  <si>
    <t>・為何這題非 Claude Code 不可
・BLE 在傳什麼：廣播、GATT 三層結構與 UUID
・特徵屬性、訂閱其實是一次寫入，以及拒絕的四種錯誤碼
・bleak 是什麼，0.2x 範例為何跑不動
・刻意唯讀：不認證、不寫入的三個理由
・可行性評估、風險盤點與開工前定下的規矩</t>
    <phoneticPr fontId="1" type="noConversion"/>
  </si>
  <si>
    <t>・交出來的東西，與只有兩行的 requirements.txt
・CLI 先行：互動選單九個動作，與 hex + ASCII 的輸出慣例
・解碼器：把位元組變成看得懂的欄位，猜要留下痕跡
・三支測試、離線 golden case，與位址改讀 device.local
・/design 三張稿：Main／ConsoleDark／CardGrouped 的取捨
・GUI 的 MVP 分層與 asyncio／Tk 兩個迴圈的交棒</t>
    <phoneticPr fontId="1" type="noConversion"/>
  </si>
  <si>
    <t>・免認證拿得到的七個欄位，與被標準 GATT 表騙到的三格
・被拒絕的方式不只兩種：沒開放、讀了被拒，還有讀得到但是空的
・華米 0x0007：禁止 read 卻會主動推的即時步數
・六個坑：關窗炸掉、求值順序、ttkbootstrap 版本差異
・狀態機與關閉流程的五個步驟
・實際測試：GATT 85 節點、讀 25 成功 4 被拒、走兩分鐘 55 個封包</t>
    <phoneticPr fontId="1" type="noConversion"/>
  </si>
  <si>
    <t>免認證讀得到什麼、被拒絕的三種樣子，以及六個與 BLE 無關的坑</t>
    <phoneticPr fontId="1" type="noConversion"/>
  </si>
  <si>
    <t>Date</t>
    <phoneticPr fontId="1" type="noConversion"/>
  </si>
  <si>
    <t>星期</t>
    <phoneticPr fontId="1" type="noConversion"/>
  </si>
  <si>
    <t>用 Claude 檢查我的個人網頁 (確認圖片與SEO設定)、最佳寬度 48 rem (人因工程)</t>
    <phoneticPr fontId="1" type="noConversion"/>
  </si>
  <si>
    <t>用 Claude 幫我轉換: Word/EXCEL 旅遊規劃，如何在個人網頁規劃出旅程</t>
    <phoneticPr fontId="1" type="noConversion"/>
  </si>
  <si>
    <t>settings.json 圍欄與 skills / rules / agents 的 context 分層：一句話該寫成哪一種檔案</t>
    <phoneticPr fontId="1" type="noConversion"/>
  </si>
  <si>
    <t>Claude Code (CLI + VS Code)</t>
    <phoneticPr fontId="1" type="noConversion"/>
  </si>
  <si>
    <t>永豐金 Shioaji API &amp; FRED API Key、免費的 yfinance、GitHub 帳號</t>
    <phoneticPr fontId="1" type="noConversion"/>
  </si>
  <si>
    <t>Word: 模板不動只換資料與圖 / EXCEL: 把 bootstrap 攤在儲存格上 / PPT: 把一疊文字檔讀成簡報</t>
    <phoneticPr fontId="1" type="noConversion"/>
  </si>
  <si>
    <t>用 Claude 幫我轉換: 教召攜帶物品，從用猜的 Word 清單到帶推薦指數的 Excel，再搬上網頁</t>
    <phoneticPr fontId="1" type="noConversion"/>
  </si>
  <si>
    <t>重建個人網頁架構、更新履歷，順便把履歷照片藏在刮刮樂底下</t>
    <phoneticPr fontId="1" type="noConversion"/>
  </si>
  <si>
    <t>Prj#5 股票分析</t>
    <phoneticPr fontId="1" type="noConversion"/>
  </si>
  <si>
    <t>定調「去查、去跑，不要靠回想」：另開兩個 repo、標的收斂、總經指標選法、Shioaji 對帳、排程放本機</t>
    <phoneticPr fontId="1" type="noConversion"/>
  </si>
  <si>
    <t>24 個總經指標：頻率混雜逼出來的設計、只顯示不評分的七項、世界前十大股票市場與評分機制</t>
    <phoneticPr fontId="1" type="noConversion"/>
  </si>
  <si>
    <t>大盤指數與大盤 ETF：五個維度怎麼算、籌碼面三個來源、為什麼刻意不做買賣建議</t>
    <phoneticPr fontId="1" type="noConversion"/>
  </si>
  <si>
    <t>從能跑到能發布：分層架構與 MVP、SQLite、桌面程式、CI/CD 與打包發布</t>
    <phoneticPr fontId="1" type="noConversion"/>
  </si>
  <si>
    <t>補得回來的價格與補不回來的五天：run log、自動掃頻率、失敗通知、金鑰分級、額度與免責</t>
    <phoneticPr fontId="1" type="noConversion"/>
  </si>
  <si>
    <t>把 AI 講給沒碰過的人聽：做一份給長輩的 26 頁 AI 入門簡報</t>
    <phoneticPr fontId="1" type="noConversion"/>
  </si>
  <si>
    <t>回顧：Day 02 三介面分工假說驗收、分工原則定版，並公開這份 30 天計畫表</t>
    <phoneticPr fontId="1" type="noConversion"/>
  </si>
  <si>
    <t>Claude Code
(CLI + VS Code)</t>
    <phoneticPr fontId="1" type="noConversion"/>
  </si>
  <si>
    <t>・先把 settings / skills / rules / agents 分成兩類：圍欄與 context
・settings.json：唯一真的擋得住事情的那一層
・剩下的都是 context，所以它們比的是「什麼時候才進來」
・Skills：八個資料夾，只有兩個帶額外欄位
・Rules：按檔案類型才載入的那一層
・Agents：委派的時機、代價，與那個沒人提醒的坑；最後是一句話該放哪</t>
    <phoneticPr fontId="1" type="noConversion"/>
  </si>
  <si>
    <t>・今天要辦的四件事
・永豐金 Shioaji：先要有證券戶，審核要等幾天
・FRED API Key：上網填一頁就好
・yfinance：不用申請，但要知道它的代價
・台灣其他券商的 API 對照
・記得還要有一個 GitHub 帳號</t>
    <phoneticPr fontId="1" type="noConversion"/>
  </si>
  <si>
    <t>・Word：模板一個位元組都不動，只換資料與圖
・Excel：把 Day 15 那段 0.07 秒跑完的 bootstrap 攤在儲存格上，按 F9 重抽一次
・PPT：把一整疊文字檔讀完，整理成一份簡報
・本機有 Office，所以 Excel 走 COM、PPT 用 PowerPoint 匯出 PNG 做目視驗證
・討論：跟 Day 08 對照，一次性的產出 vs 可以重跑的產生器
・環境知識是誰寫的：容器裡的 SKILL.md 與自己寫的 CLAUDE.md</t>
    <phoneticPr fontId="1" type="noConversion"/>
  </si>
  <si>
    <t>・先要清單，不要修改
・沒有症狀的那幾項：建置警告、兩個語言貼文數對不齊、履歷頁標題階層
・檔案很大，不等於有成本
・閱讀寬度：主題原本就設好了，是我自己拿掉的
・搬家的時候，已經發出去的連結還在
・清單它列，權衡我自己扛</t>
    <phoneticPr fontId="1" type="noConversion"/>
  </si>
  <si>
    <t>・教召之前：一份用猜的 Word 清單
・教召之後：一份帶著推薦指數的 Excel
・轉換時沒料到的三件事
・幾個為什麼：打勾框、分組方式、要不要留原始檔</t>
    <phoneticPr fontId="1" type="noConversion"/>
  </si>
  <si>
    <t>・這頁本來長怎樣
・原本有的問題
・把分散生成的內容整理到同一頁面
・上線前必須拿掉的內容
・成品</t>
    <phoneticPr fontId="1" type="noConversion"/>
  </si>
  <si>
    <t>・舊版那四格
・新的五格導覽
・履歷更新
・刮開才看得到的照片
・hugo.toml 在管什麼
・部署流程</t>
    <phoneticPr fontId="1" type="noConversion"/>
  </si>
  <si>
    <t>・SPCX 事件：模型的知識截止日，所以叫它去查、去跑，不要叫它回想
・為什麼另開兩個 repo，而不是長在個人網站裡
・標的怎麼收斂：每個市場「指數 + 兩檔 ETF」，權值股名單去期交所查
・總經指標選了哪些
・張、股、口：單位不統一的地雷
・Shioaji 跟 yfinance 對不對得起來，以及排程為什麼放本機</t>
    <phoneticPr fontId="1" type="noConversion"/>
  </si>
  <si>
    <t>・二十四項總經指標長什麼樣子
・頻率混雜逼出來的設計：資料到底是哪一天的
・權值股為什麼會變成總經的讀數
・只顯示不評分的那七項
・世界前十大股票市場
・評分機制與它的侷限</t>
    <phoneticPr fontId="1" type="noConversion"/>
  </si>
  <si>
    <t>・必須先講的近似
・為什麼台股差 13.6 個百分點、美股差 0.6
・五個維度是怎麼算出來的，以及那個標準憑什麼是這樣
・籌碼面：三個來源、三種單位、兩種「沒有」
・為什麼刻意不做買賣建議
・五日評分的變化與平滑化</t>
    <phoneticPr fontId="1" type="noConversion"/>
  </si>
  <si>
    <t>・架構：分層，表現層用 MVP
・SQLite 在這裡做什麼
・桌面程式
・發布：本機加密，Actions 只部署
・什麼是 CI/CD，這個 repo 用到哪幾段；相依套件、環境與版本號怎麼固定
・打包：三次「成功但跑不起來」，以及本機跑 vs 上 GitHub Pages</t>
    <phoneticPr fontId="1" type="noConversion"/>
  </si>
  <si>
    <t>・兩個市場的五天，不是同一組日期
・哪幾天是觀測的、哪幾天是回補的，run log 說了什麼
・總經：按更新頻率自動掃
・失敗通知與重試、金鑰分級
・額度、成本與限制，以及這套加密擋得住什麼、擋不住什麼
・資料授權與免責，並明確寫出沒做的</t>
    <phoneticPr fontId="1" type="noConversion"/>
  </si>
  <si>
    <t>・先把 AI 跟 LLM 講清楚，兩條時間軸
・現在有哪些能用、怎麼判斷好壞，以及中國模型要不要用
・真正卡住新手的那一步：到底怎麼打開來用
・怎麼問才問得到想要的答案：兩種問法、講話順序、它會在哪裡出錯
・讓 AI 直接生出 Office 檔案，以及筆記本類功能
・結尾要留下的兩件事：不要全信，以及防詐</t>
    <phoneticPr fontId="1" type="noConversion"/>
  </si>
  <si>
    <t>・回頭檢視 Day 02 提出的三條分工假說，逐條驗收
・跟介面完全無關的那五條
・三介面分工原則定版：與其記三個介面，不如問三個問題
・適用邊界與三個例外情況
・後續打算怎麼繼續用
・公開這份 30 天計畫表，對照計畫與實際的落差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</si>
</sst>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4" x14ac:knownFonts="1">
    <font>
      <sz val="11"/>
      <color theme="1"/>
      <name val="Calibri"/>
      <family val="2"/>
      <charset val="1"/>
    </font>
    <font>
      <sz val="9"/>
      <name val="細明體"/>
      <family val="3"/>
      <charset val="136"/>
    </font>
    <font>
      <b/>
      <sz val="10"/>
      <color theme="1"/>
      <name val="新細明體"/>
      <family val="1"/>
      <charset val="136"/>
    </font>
    <font>
      <sz val="10"/>
      <color theme="1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BE5D6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workbookViewId="0">
      <pane ySplit="1" topLeftCell="A17" activePane="bottomLeft" state="frozen"/>
      <selection pane="bottomLeft" activeCell="F33" sqref="F33"/>
    </sheetView>
  </sheetViews>
  <sheetFormatPr defaultColWidth="4.453125" defaultRowHeight="14.5" x14ac:dyDescent="0.35"/>
  <cols>
    <col min="1" max="1" width="4.36328125" style="1" bestFit="1" customWidth="1"/>
    <col min="2" max="2" width="8.7265625" style="1" bestFit="1" customWidth="1"/>
    <col min="3" max="3" width="6.7265625" style="1" bestFit="1" customWidth="1"/>
    <col min="4" max="4" width="24.6328125" style="1" bestFit="1" customWidth="1"/>
    <col min="5" max="5" width="26.6328125" style="1" bestFit="1" customWidth="1"/>
    <col min="6" max="6" width="76.54296875" style="1" bestFit="1" customWidth="1"/>
    <col min="7" max="7" width="25.54296875" style="1" bestFit="1" customWidth="1"/>
  </cols>
  <sheetData>
    <row r="1" spans="1:7" x14ac:dyDescent="0.35">
      <c r="A1" s="3" t="s">
        <v>0</v>
      </c>
      <c r="B1" s="3" t="s">
        <v>76</v>
      </c>
      <c r="C1" s="3" t="s">
        <v>77</v>
      </c>
      <c r="D1" s="3" t="s">
        <v>1</v>
      </c>
      <c r="E1" s="3" t="s">
        <v>11</v>
      </c>
      <c r="F1" s="3" t="s">
        <v>24</v>
      </c>
      <c r="G1" s="3" t="s">
        <v>2</v>
      </c>
    </row>
    <row r="2" spans="1:7" x14ac:dyDescent="0.35">
      <c r="A2" s="4">
        <v>1</v>
      </c>
      <c r="B2" s="12">
        <v>46249</v>
      </c>
      <c r="C2" s="12" t="str">
        <f t="shared" ref="C2:C31" si="0">TEXT(B2, "aaaa")</f>
        <v>星期六</v>
      </c>
      <c r="D2" s="4" t="s">
        <v>6</v>
      </c>
      <c r="E2" s="4"/>
      <c r="F2" s="4" t="s">
        <v>20</v>
      </c>
      <c r="G2" s="4" t="s">
        <v>4</v>
      </c>
    </row>
    <row r="3" spans="1:7" x14ac:dyDescent="0.35">
      <c r="A3" s="4">
        <v>2</v>
      </c>
      <c r="B3" s="12">
        <v>46250</v>
      </c>
      <c r="C3" s="12" t="str">
        <f t="shared" si="0"/>
        <v>星期日</v>
      </c>
      <c r="D3" s="4" t="s">
        <v>7</v>
      </c>
      <c r="E3" s="4"/>
      <c r="F3" s="4" t="s">
        <v>12</v>
      </c>
      <c r="G3" s="4" t="s">
        <v>4</v>
      </c>
    </row>
    <row r="4" spans="1:7" x14ac:dyDescent="0.35">
      <c r="A4" s="4">
        <v>3</v>
      </c>
      <c r="B4" s="12">
        <v>46251</v>
      </c>
      <c r="C4" s="12" t="str">
        <f t="shared" si="0"/>
        <v>星期一</v>
      </c>
      <c r="D4" s="4" t="s">
        <v>21</v>
      </c>
      <c r="E4" s="4"/>
      <c r="F4" s="4" t="s">
        <v>31</v>
      </c>
      <c r="G4" s="5" t="s">
        <v>8</v>
      </c>
    </row>
    <row r="5" spans="1:7" x14ac:dyDescent="0.35">
      <c r="A5" s="4">
        <v>4</v>
      </c>
      <c r="B5" s="12">
        <v>46252</v>
      </c>
      <c r="C5" s="12" t="str">
        <f t="shared" si="0"/>
        <v>星期二</v>
      </c>
      <c r="D5" s="4" t="s">
        <v>38</v>
      </c>
      <c r="E5" s="4"/>
      <c r="F5" s="4" t="s">
        <v>39</v>
      </c>
      <c r="G5" s="5" t="s">
        <v>8</v>
      </c>
    </row>
    <row r="6" spans="1:7" x14ac:dyDescent="0.35">
      <c r="A6" s="4">
        <v>5</v>
      </c>
      <c r="B6" s="12">
        <v>46253</v>
      </c>
      <c r="C6" s="12" t="str">
        <f t="shared" si="0"/>
        <v>星期三</v>
      </c>
      <c r="D6" s="4" t="s">
        <v>32</v>
      </c>
      <c r="E6" s="4"/>
      <c r="F6" s="4" t="s">
        <v>27</v>
      </c>
      <c r="G6" s="5" t="s">
        <v>8</v>
      </c>
    </row>
    <row r="7" spans="1:7" x14ac:dyDescent="0.35">
      <c r="A7" s="4">
        <v>6</v>
      </c>
      <c r="B7" s="12">
        <v>46254</v>
      </c>
      <c r="C7" s="12" t="str">
        <f t="shared" si="0"/>
        <v>星期四</v>
      </c>
      <c r="D7" s="4" t="s">
        <v>32</v>
      </c>
      <c r="E7" s="4"/>
      <c r="F7" s="4" t="s">
        <v>5</v>
      </c>
      <c r="G7" s="5" t="s">
        <v>8</v>
      </c>
    </row>
    <row r="8" spans="1:7" x14ac:dyDescent="0.35">
      <c r="A8" s="4">
        <v>7</v>
      </c>
      <c r="B8" s="12">
        <v>46255</v>
      </c>
      <c r="C8" s="12" t="str">
        <f t="shared" si="0"/>
        <v>星期五</v>
      </c>
      <c r="D8" s="4" t="s">
        <v>41</v>
      </c>
      <c r="E8" s="4"/>
      <c r="F8" s="4" t="s">
        <v>42</v>
      </c>
      <c r="G8" s="5" t="s">
        <v>9</v>
      </c>
    </row>
    <row r="9" spans="1:7" x14ac:dyDescent="0.35">
      <c r="A9" s="4">
        <v>8</v>
      </c>
      <c r="B9" s="12">
        <v>46256</v>
      </c>
      <c r="C9" s="12" t="str">
        <f t="shared" si="0"/>
        <v>星期六</v>
      </c>
      <c r="D9" s="4" t="s">
        <v>46</v>
      </c>
      <c r="E9" s="4" t="s">
        <v>10</v>
      </c>
      <c r="F9" s="4" t="s">
        <v>43</v>
      </c>
      <c r="G9" s="5" t="s">
        <v>45</v>
      </c>
    </row>
    <row r="10" spans="1:7" x14ac:dyDescent="0.35">
      <c r="A10" s="4">
        <v>9</v>
      </c>
      <c r="B10" s="12">
        <v>46257</v>
      </c>
      <c r="C10" s="12" t="str">
        <f t="shared" si="0"/>
        <v>星期日</v>
      </c>
      <c r="D10" s="4" t="s">
        <v>7</v>
      </c>
      <c r="E10" s="4"/>
      <c r="F10" s="4" t="s">
        <v>47</v>
      </c>
      <c r="G10" s="5" t="s">
        <v>4</v>
      </c>
    </row>
    <row r="11" spans="1:7" x14ac:dyDescent="0.35">
      <c r="A11" s="4">
        <v>10</v>
      </c>
      <c r="B11" s="12">
        <v>46258</v>
      </c>
      <c r="C11" s="12" t="str">
        <f>TEXT(B11, "aaaa")</f>
        <v>星期一</v>
      </c>
      <c r="D11" s="4" t="s">
        <v>48</v>
      </c>
      <c r="E11" s="4"/>
      <c r="F11" s="4" t="s">
        <v>60</v>
      </c>
      <c r="G11" s="5" t="s">
        <v>36</v>
      </c>
    </row>
    <row r="12" spans="1:7" x14ac:dyDescent="0.35">
      <c r="A12" s="4">
        <v>11</v>
      </c>
      <c r="B12" s="12">
        <v>46259</v>
      </c>
      <c r="C12" s="12" t="str">
        <f t="shared" si="0"/>
        <v>星期二</v>
      </c>
      <c r="D12" s="4" t="s">
        <v>48</v>
      </c>
      <c r="E12" s="4"/>
      <c r="F12" s="4" t="s">
        <v>80</v>
      </c>
      <c r="G12" s="5" t="s">
        <v>81</v>
      </c>
    </row>
    <row r="13" spans="1:7" x14ac:dyDescent="0.35">
      <c r="A13" s="4">
        <v>12</v>
      </c>
      <c r="B13" s="12">
        <v>46260</v>
      </c>
      <c r="C13" s="12" t="str">
        <f t="shared" si="0"/>
        <v>星期三</v>
      </c>
      <c r="D13" s="4" t="s">
        <v>23</v>
      </c>
      <c r="E13" s="4"/>
      <c r="F13" s="4" t="s">
        <v>82</v>
      </c>
      <c r="G13" s="5" t="s">
        <v>4</v>
      </c>
    </row>
    <row r="14" spans="1:7" x14ac:dyDescent="0.35">
      <c r="A14" s="4">
        <v>13</v>
      </c>
      <c r="B14" s="12">
        <v>46261</v>
      </c>
      <c r="C14" s="12" t="str">
        <f t="shared" si="0"/>
        <v>星期四</v>
      </c>
      <c r="D14" s="4" t="s">
        <v>18</v>
      </c>
      <c r="E14" s="4" t="s">
        <v>62</v>
      </c>
      <c r="F14" s="4" t="s">
        <v>13</v>
      </c>
      <c r="G14" s="5" t="s">
        <v>36</v>
      </c>
    </row>
    <row r="15" spans="1:7" x14ac:dyDescent="0.35">
      <c r="A15" s="4">
        <v>14</v>
      </c>
      <c r="B15" s="12">
        <v>46262</v>
      </c>
      <c r="C15" s="12" t="str">
        <f t="shared" si="0"/>
        <v>星期五</v>
      </c>
      <c r="D15" s="4" t="s">
        <v>14</v>
      </c>
      <c r="E15" s="4" t="s">
        <v>63</v>
      </c>
      <c r="F15" s="4" t="s">
        <v>64</v>
      </c>
      <c r="G15" s="5" t="s">
        <v>36</v>
      </c>
    </row>
    <row r="16" spans="1:7" x14ac:dyDescent="0.35">
      <c r="A16" s="4">
        <v>15</v>
      </c>
      <c r="B16" s="12">
        <v>46263</v>
      </c>
      <c r="C16" s="12" t="str">
        <f t="shared" si="0"/>
        <v>星期六</v>
      </c>
      <c r="D16" s="4" t="s">
        <v>14</v>
      </c>
      <c r="E16" s="4" t="s">
        <v>63</v>
      </c>
      <c r="F16" s="4" t="s">
        <v>65</v>
      </c>
      <c r="G16" s="5" t="s">
        <v>36</v>
      </c>
    </row>
    <row r="17" spans="1:7" x14ac:dyDescent="0.35">
      <c r="A17" s="4">
        <v>16</v>
      </c>
      <c r="B17" s="12">
        <v>46264</v>
      </c>
      <c r="C17" s="12" t="str">
        <f t="shared" si="0"/>
        <v>星期日</v>
      </c>
      <c r="D17" s="4" t="s">
        <v>46</v>
      </c>
      <c r="E17" s="4" t="s">
        <v>10</v>
      </c>
      <c r="F17" s="4" t="s">
        <v>83</v>
      </c>
      <c r="G17" s="5" t="s">
        <v>36</v>
      </c>
    </row>
    <row r="18" spans="1:7" x14ac:dyDescent="0.35">
      <c r="A18" s="4">
        <v>17</v>
      </c>
      <c r="B18" s="12">
        <v>46265</v>
      </c>
      <c r="C18" s="12" t="str">
        <f t="shared" si="0"/>
        <v>星期一</v>
      </c>
      <c r="D18" s="4" t="s">
        <v>15</v>
      </c>
      <c r="E18" s="4" t="s">
        <v>16</v>
      </c>
      <c r="F18" s="4" t="s">
        <v>67</v>
      </c>
      <c r="G18" s="5" t="s">
        <v>36</v>
      </c>
    </row>
    <row r="19" spans="1:7" x14ac:dyDescent="0.35">
      <c r="A19" s="4">
        <v>18</v>
      </c>
      <c r="B19" s="12">
        <v>46266</v>
      </c>
      <c r="C19" s="12" t="str">
        <f t="shared" si="0"/>
        <v>星期二</v>
      </c>
      <c r="D19" s="4" t="s">
        <v>15</v>
      </c>
      <c r="E19" s="4" t="s">
        <v>37</v>
      </c>
      <c r="F19" s="4" t="s">
        <v>68</v>
      </c>
      <c r="G19" s="5" t="s">
        <v>36</v>
      </c>
    </row>
    <row r="20" spans="1:7" x14ac:dyDescent="0.35">
      <c r="A20" s="4">
        <v>19</v>
      </c>
      <c r="B20" s="12">
        <v>46267</v>
      </c>
      <c r="C20" s="12" t="str">
        <f t="shared" si="0"/>
        <v>星期三</v>
      </c>
      <c r="D20" s="4" t="s">
        <v>15</v>
      </c>
      <c r="E20" s="4" t="s">
        <v>37</v>
      </c>
      <c r="F20" s="4" t="s">
        <v>75</v>
      </c>
      <c r="G20" s="5" t="s">
        <v>36</v>
      </c>
    </row>
    <row r="21" spans="1:7" x14ac:dyDescent="0.35">
      <c r="A21" s="6">
        <v>20</v>
      </c>
      <c r="B21" s="11">
        <v>46268</v>
      </c>
      <c r="C21" s="11" t="str">
        <f t="shared" si="0"/>
        <v>星期四</v>
      </c>
      <c r="D21" s="6" t="s">
        <v>17</v>
      </c>
      <c r="E21" s="6" t="s">
        <v>19</v>
      </c>
      <c r="F21" s="6" t="s">
        <v>78</v>
      </c>
      <c r="G21" s="3" t="s">
        <v>36</v>
      </c>
    </row>
    <row r="22" spans="1:7" x14ac:dyDescent="0.35">
      <c r="A22" s="6">
        <v>21</v>
      </c>
      <c r="B22" s="11">
        <v>46269</v>
      </c>
      <c r="C22" s="11" t="str">
        <f t="shared" si="0"/>
        <v>星期五</v>
      </c>
      <c r="D22" s="6" t="s">
        <v>17</v>
      </c>
      <c r="E22" s="6" t="s">
        <v>19</v>
      </c>
      <c r="F22" s="6" t="s">
        <v>84</v>
      </c>
      <c r="G22" s="3" t="s">
        <v>36</v>
      </c>
    </row>
    <row r="23" spans="1:7" x14ac:dyDescent="0.35">
      <c r="A23" s="6">
        <v>22</v>
      </c>
      <c r="B23" s="11">
        <v>46270</v>
      </c>
      <c r="C23" s="11" t="str">
        <f t="shared" si="0"/>
        <v>星期六</v>
      </c>
      <c r="D23" s="6" t="s">
        <v>17</v>
      </c>
      <c r="E23" s="6" t="s">
        <v>19</v>
      </c>
      <c r="F23" s="6" t="s">
        <v>79</v>
      </c>
      <c r="G23" s="3" t="s">
        <v>36</v>
      </c>
    </row>
    <row r="24" spans="1:7" x14ac:dyDescent="0.35">
      <c r="A24" s="6">
        <v>23</v>
      </c>
      <c r="B24" s="11">
        <v>46271</v>
      </c>
      <c r="C24" s="11" t="str">
        <f t="shared" si="0"/>
        <v>星期日</v>
      </c>
      <c r="D24" s="6" t="s">
        <v>17</v>
      </c>
      <c r="E24" s="6" t="s">
        <v>19</v>
      </c>
      <c r="F24" s="6" t="s">
        <v>85</v>
      </c>
      <c r="G24" s="3" t="s">
        <v>36</v>
      </c>
    </row>
    <row r="25" spans="1:7" x14ac:dyDescent="0.35">
      <c r="A25" s="6">
        <v>24</v>
      </c>
      <c r="B25" s="11">
        <v>46272</v>
      </c>
      <c r="C25" s="11" t="str">
        <f t="shared" si="0"/>
        <v>星期一</v>
      </c>
      <c r="D25" s="6" t="s">
        <v>86</v>
      </c>
      <c r="E25" s="6" t="s">
        <v>22</v>
      </c>
      <c r="F25" s="6" t="s">
        <v>87</v>
      </c>
      <c r="G25" s="3" t="s">
        <v>36</v>
      </c>
    </row>
    <row r="26" spans="1:7" x14ac:dyDescent="0.35">
      <c r="A26" s="6">
        <v>25</v>
      </c>
      <c r="B26" s="11">
        <v>46273</v>
      </c>
      <c r="C26" s="11" t="str">
        <f t="shared" si="0"/>
        <v>星期二</v>
      </c>
      <c r="D26" s="6" t="s">
        <v>86</v>
      </c>
      <c r="E26" s="6" t="s">
        <v>22</v>
      </c>
      <c r="F26" s="6" t="s">
        <v>88</v>
      </c>
      <c r="G26" s="3" t="s">
        <v>36</v>
      </c>
    </row>
    <row r="27" spans="1:7" x14ac:dyDescent="0.35">
      <c r="A27" s="6">
        <v>26</v>
      </c>
      <c r="B27" s="11">
        <v>46274</v>
      </c>
      <c r="C27" s="11" t="str">
        <f t="shared" si="0"/>
        <v>星期三</v>
      </c>
      <c r="D27" s="6" t="s">
        <v>86</v>
      </c>
      <c r="E27" s="6" t="s">
        <v>22</v>
      </c>
      <c r="F27" s="6" t="s">
        <v>89</v>
      </c>
      <c r="G27" s="3" t="s">
        <v>36</v>
      </c>
    </row>
    <row r="28" spans="1:7" x14ac:dyDescent="0.35">
      <c r="A28" s="6">
        <v>27</v>
      </c>
      <c r="B28" s="11">
        <v>46275</v>
      </c>
      <c r="C28" s="11" t="str">
        <f t="shared" si="0"/>
        <v>星期四</v>
      </c>
      <c r="D28" s="6" t="s">
        <v>86</v>
      </c>
      <c r="E28" s="6" t="s">
        <v>22</v>
      </c>
      <c r="F28" s="6" t="s">
        <v>90</v>
      </c>
      <c r="G28" s="3" t="s">
        <v>36</v>
      </c>
    </row>
    <row r="29" spans="1:7" x14ac:dyDescent="0.35">
      <c r="A29" s="6">
        <v>28</v>
      </c>
      <c r="B29" s="11">
        <v>46276</v>
      </c>
      <c r="C29" s="11" t="str">
        <f t="shared" si="0"/>
        <v>星期五</v>
      </c>
      <c r="D29" s="6" t="s">
        <v>86</v>
      </c>
      <c r="E29" s="6" t="s">
        <v>22</v>
      </c>
      <c r="F29" s="6" t="s">
        <v>91</v>
      </c>
      <c r="G29" s="3" t="s">
        <v>36</v>
      </c>
    </row>
    <row r="30" spans="1:7" x14ac:dyDescent="0.35">
      <c r="A30" s="6">
        <v>29</v>
      </c>
      <c r="B30" s="11">
        <v>46277</v>
      </c>
      <c r="C30" s="11" t="str">
        <f t="shared" si="0"/>
        <v>星期六</v>
      </c>
      <c r="D30" s="6" t="s">
        <v>3</v>
      </c>
      <c r="E30" s="6"/>
      <c r="F30" s="6" t="s">
        <v>92</v>
      </c>
      <c r="G30" s="3" t="s">
        <v>36</v>
      </c>
    </row>
    <row r="31" spans="1:7" x14ac:dyDescent="0.35">
      <c r="A31" s="6">
        <v>30</v>
      </c>
      <c r="B31" s="11">
        <v>46278</v>
      </c>
      <c r="C31" s="11" t="str">
        <f t="shared" si="0"/>
        <v>星期日</v>
      </c>
      <c r="D31" s="6" t="s">
        <v>3</v>
      </c>
      <c r="E31" s="6"/>
      <c r="F31" s="6" t="s">
        <v>93</v>
      </c>
      <c r="G31" s="3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tabSelected="1" zoomScaleNormal="100" workbookViewId="0">
      <pane xSplit="3" ySplit="1" topLeftCell="E2" activePane="bottomRight" state="frozen"/>
      <selection pane="topRight" activeCell="D1" sqref="D1"/>
      <selection pane="bottomLeft" activeCell="A2" sqref="A2"/>
      <selection pane="bottomRight" activeCell="F32" sqref="F32"/>
    </sheetView>
  </sheetViews>
  <sheetFormatPr defaultColWidth="13.81640625" defaultRowHeight="13.5" x14ac:dyDescent="0.35"/>
  <cols>
    <col min="1" max="1" width="4.90625" style="1" bestFit="1" customWidth="1"/>
    <col min="2" max="2" width="17.08984375" style="1" bestFit="1" customWidth="1"/>
    <col min="3" max="3" width="17" style="1" bestFit="1" customWidth="1"/>
    <col min="4" max="4" width="80.54296875" style="1" bestFit="1" customWidth="1"/>
    <col min="5" max="5" width="15.453125" style="1" bestFit="1" customWidth="1"/>
    <col min="6" max="6" width="100.54296875" style="2" bestFit="1" customWidth="1"/>
    <col min="7" max="16384" width="13.81640625" style="1"/>
  </cols>
  <sheetData>
    <row r="1" spans="1:6" x14ac:dyDescent="0.35">
      <c r="A1" s="3" t="s">
        <v>0</v>
      </c>
      <c r="B1" s="3" t="s">
        <v>1</v>
      </c>
      <c r="C1" s="3" t="s">
        <v>11</v>
      </c>
      <c r="D1" s="3" t="s">
        <v>24</v>
      </c>
      <c r="E1" s="3" t="s">
        <v>2</v>
      </c>
      <c r="F1" s="7" t="s">
        <v>25</v>
      </c>
    </row>
    <row r="2" spans="1:6" ht="67.5" x14ac:dyDescent="0.35">
      <c r="A2" s="6">
        <v>1</v>
      </c>
      <c r="B2" s="6" t="s">
        <v>6</v>
      </c>
      <c r="C2" s="6"/>
      <c r="D2" s="10" t="str">
        <f>'30-Days-Topic'!F2</f>
        <v>整體需求與目標、自我背景簡介</v>
      </c>
      <c r="E2" s="6" t="s">
        <v>4</v>
      </c>
      <c r="F2" s="8" t="s">
        <v>51</v>
      </c>
    </row>
    <row r="3" spans="1:6" ht="81" x14ac:dyDescent="0.35">
      <c r="A3" s="6">
        <v>2</v>
      </c>
      <c r="B3" s="6" t="s">
        <v>7</v>
      </c>
      <c r="C3" s="6"/>
      <c r="D3" s="10" t="str">
        <f>'30-Days-Topic'!F3</f>
        <v>claude.ai vs Claude Desktop vs Claude Code：記憶機制</v>
      </c>
      <c r="E3" s="6" t="s">
        <v>4</v>
      </c>
      <c r="F3" s="8" t="s">
        <v>52</v>
      </c>
    </row>
    <row r="4" spans="1:6" ht="81" x14ac:dyDescent="0.35">
      <c r="A4" s="6">
        <v>3</v>
      </c>
      <c r="B4" s="6" t="s">
        <v>21</v>
      </c>
      <c r="C4" s="6"/>
      <c r="D4" s="10" t="str">
        <f>'30-Days-Topic'!F4</f>
        <v>請 Claude 幫我生成更好的 Gemini Notebook 提示詞去整理財經影片</v>
      </c>
      <c r="E4" s="3" t="s">
        <v>28</v>
      </c>
      <c r="F4" s="8" t="s">
        <v>53</v>
      </c>
    </row>
    <row r="5" spans="1:6" ht="81" x14ac:dyDescent="0.35">
      <c r="A5" s="6">
        <v>4</v>
      </c>
      <c r="B5" s="9" t="s">
        <v>30</v>
      </c>
      <c r="C5" s="6"/>
      <c r="D5" s="10" t="str">
        <f>'30-Days-Topic'!F5</f>
        <v>final 版提示詞收尾（代號查證外包給證交所、字數改分項下限）&amp;Claude in Chrome 初體驗</v>
      </c>
      <c r="E5" s="3" t="s">
        <v>29</v>
      </c>
      <c r="F5" s="8" t="s">
        <v>54</v>
      </c>
    </row>
    <row r="6" spans="1:6" ht="54" x14ac:dyDescent="0.35">
      <c r="A6" s="6">
        <v>5</v>
      </c>
      <c r="B6" s="6" t="s">
        <v>32</v>
      </c>
      <c r="C6" s="6"/>
      <c r="D6" s="10" t="str">
        <f>'30-Days-Topic'!F6</f>
        <v>HTML 模擬（飛機飛行 / 心理學注意力遊戲 / 腦迴路概念圖）</v>
      </c>
      <c r="E6" s="3" t="s">
        <v>26</v>
      </c>
      <c r="F6" s="8" t="s">
        <v>55</v>
      </c>
    </row>
    <row r="7" spans="1:6" ht="81" x14ac:dyDescent="0.35">
      <c r="A7" s="6">
        <v>6</v>
      </c>
      <c r="B7" s="6" t="s">
        <v>32</v>
      </c>
      <c r="C7" s="6"/>
      <c r="D7" s="10" t="str">
        <f>'30-Days-Topic'!F7</f>
        <v>利用 ICP 或 NDT 模擬太空中登陸艇降落固體行星表面選擇最佳地點</v>
      </c>
      <c r="E7" s="3" t="s">
        <v>8</v>
      </c>
      <c r="F7" s="8" t="s">
        <v>56</v>
      </c>
    </row>
    <row r="8" spans="1:6" ht="81" x14ac:dyDescent="0.35">
      <c r="A8" s="6">
        <v>7</v>
      </c>
      <c r="B8" s="6" t="s">
        <v>40</v>
      </c>
      <c r="C8" s="6"/>
      <c r="D8" s="10" t="str">
        <f>'30-Days-Topic'!F8</f>
        <v>安裝 Claude Desktop、讓WiFi設定更優化、診斷電腦為何變慢、檢查Anaconda環境</v>
      </c>
      <c r="E8" s="3" t="s">
        <v>9</v>
      </c>
      <c r="F8" s="8" t="s">
        <v>57</v>
      </c>
    </row>
    <row r="9" spans="1:6" ht="81" x14ac:dyDescent="0.35">
      <c r="A9" s="6">
        <v>8</v>
      </c>
      <c r="B9" s="6" t="s">
        <v>46</v>
      </c>
      <c r="C9" s="6" t="s">
        <v>49</v>
      </c>
      <c r="D9" s="10" t="str">
        <f>'30-Days-Topic'!F9</f>
        <v>Word: 模板之建立 / EXCEL: 整理 / PPT: 從 Word 與 EXCEL 幫我做 PPT</v>
      </c>
      <c r="E9" s="7" t="s">
        <v>44</v>
      </c>
      <c r="F9" s="8" t="s">
        <v>58</v>
      </c>
    </row>
    <row r="10" spans="1:6" ht="81" x14ac:dyDescent="0.35">
      <c r="A10" s="6">
        <v>9</v>
      </c>
      <c r="B10" s="6" t="s">
        <v>48</v>
      </c>
      <c r="C10" s="6"/>
      <c r="D10" s="10" t="str">
        <f>'30-Days-Topic'!F10</f>
        <v>Agent Skill</v>
      </c>
      <c r="E10" s="3" t="s">
        <v>4</v>
      </c>
      <c r="F10" s="2" t="s">
        <v>59</v>
      </c>
    </row>
    <row r="11" spans="1:6" ht="81" x14ac:dyDescent="0.35">
      <c r="A11" s="6">
        <v>10</v>
      </c>
      <c r="B11" s="6" t="s">
        <v>48</v>
      </c>
      <c r="C11" s="6"/>
      <c r="D11" s="10" t="str">
        <f>'30-Days-Topic'!F11</f>
        <v>使用 Claude Code (Cmd &amp; VS Code) &amp; CLAUDE.md: 全域 vs. 專案 &amp; Session 交接信</v>
      </c>
      <c r="E11" s="7" t="s">
        <v>33</v>
      </c>
      <c r="F11" s="8" t="s">
        <v>61</v>
      </c>
    </row>
    <row r="12" spans="1:6" ht="81" x14ac:dyDescent="0.35">
      <c r="A12" s="6">
        <v>11</v>
      </c>
      <c r="B12" s="6" t="s">
        <v>48</v>
      </c>
      <c r="C12" s="6"/>
      <c r="D12" s="10" t="str">
        <f>'30-Days-Topic'!F12</f>
        <v>settings.json 圍欄與 skills / rules / agents 的 context 分層：一句話該寫成哪一種檔案</v>
      </c>
      <c r="E12" s="7" t="s">
        <v>94</v>
      </c>
      <c r="F12" s="8" t="s">
        <v>95</v>
      </c>
    </row>
    <row r="13" spans="1:6" ht="81" x14ac:dyDescent="0.35">
      <c r="A13" s="6">
        <v>12</v>
      </c>
      <c r="B13" s="6" t="s">
        <v>23</v>
      </c>
      <c r="C13" s="6"/>
      <c r="D13" s="10" t="str">
        <f>'30-Days-Topic'!F13</f>
        <v>永豐金 Shioaji API &amp; FRED API Key、免費的 yfinance、GitHub 帳號</v>
      </c>
      <c r="E13" s="3" t="s">
        <v>4</v>
      </c>
      <c r="F13" s="8" t="s">
        <v>96</v>
      </c>
    </row>
    <row r="14" spans="1:6" ht="81" x14ac:dyDescent="0.35">
      <c r="A14" s="6">
        <v>13</v>
      </c>
      <c r="B14" s="6" t="s">
        <v>18</v>
      </c>
      <c r="C14" s="9" t="s">
        <v>62</v>
      </c>
      <c r="D14" s="10" t="str">
        <f>'30-Days-Topic'!F14</f>
        <v>直接vibe coding要求、根據需求或條件改成更完美的樣子</v>
      </c>
      <c r="E14" s="7" t="s">
        <v>33</v>
      </c>
      <c r="F14" s="8" t="s">
        <v>69</v>
      </c>
    </row>
    <row r="15" spans="1:6" ht="81" x14ac:dyDescent="0.35">
      <c r="A15" s="6">
        <v>14</v>
      </c>
      <c r="B15" s="6" t="s">
        <v>14</v>
      </c>
      <c r="C15" s="9" t="s">
        <v>63</v>
      </c>
      <c r="D15" s="10" t="str">
        <f>'30-Days-Topic'!F15</f>
        <v>用 /dataviz 與視覺化、 Bolasso 與回歸統計模型及統計指標</v>
      </c>
      <c r="E15" s="7" t="s">
        <v>33</v>
      </c>
      <c r="F15" s="8" t="s">
        <v>70</v>
      </c>
    </row>
    <row r="16" spans="1:6" ht="81" x14ac:dyDescent="0.35">
      <c r="A16" s="6">
        <v>15</v>
      </c>
      <c r="B16" s="6" t="s">
        <v>14</v>
      </c>
      <c r="C16" s="9" t="s">
        <v>63</v>
      </c>
      <c r="D16" s="10" t="str">
        <f>'30-Days-Topic'!F16</f>
        <v>AI Vibe Coding、EXCEL欄位選擇與UI設計、統計圖表輸出、實測</v>
      </c>
      <c r="E16" s="7" t="s">
        <v>33</v>
      </c>
      <c r="F16" s="8" t="s">
        <v>71</v>
      </c>
    </row>
    <row r="17" spans="1:6" ht="81" x14ac:dyDescent="0.35">
      <c r="A17" s="6">
        <v>16</v>
      </c>
      <c r="B17" s="6" t="s">
        <v>50</v>
      </c>
      <c r="C17" s="6" t="s">
        <v>49</v>
      </c>
      <c r="D17" s="10" t="str">
        <f>'30-Days-Topic'!F17</f>
        <v>Word: 模板不動只換資料與圖 / EXCEL: 把 bootstrap 攤在儲存格上 / PPT: 把一疊文字檔讀成簡報</v>
      </c>
      <c r="E17" s="7" t="s">
        <v>33</v>
      </c>
      <c r="F17" s="8" t="s">
        <v>97</v>
      </c>
    </row>
    <row r="18" spans="1:6" ht="81" x14ac:dyDescent="0.35">
      <c r="A18" s="6">
        <v>17</v>
      </c>
      <c r="B18" s="6" t="s">
        <v>66</v>
      </c>
      <c r="C18" s="9" t="s">
        <v>34</v>
      </c>
      <c r="D18" s="10" t="str">
        <f>'30-Days-Topic'!F18</f>
        <v>Python bleak 與 BLE GATT 基礎、唯讀界線與可行性評估，一定要 claude code</v>
      </c>
      <c r="E18" s="7" t="s">
        <v>33</v>
      </c>
      <c r="F18" s="8" t="s">
        <v>72</v>
      </c>
    </row>
    <row r="19" spans="1:6" ht="81" x14ac:dyDescent="0.35">
      <c r="A19" s="6">
        <v>18</v>
      </c>
      <c r="B19" s="6" t="s">
        <v>15</v>
      </c>
      <c r="C19" s="9" t="s">
        <v>34</v>
      </c>
      <c r="D19" s="10" t="str">
        <f>'30-Days-Topic'!F19</f>
        <v>實作結果（CLI／GUI／unit_test／requirements）與 /design 三版 UI 選型</v>
      </c>
      <c r="E19" s="7" t="s">
        <v>33</v>
      </c>
      <c r="F19" s="8" t="s">
        <v>73</v>
      </c>
    </row>
    <row r="20" spans="1:6" ht="81" x14ac:dyDescent="0.35">
      <c r="A20" s="6">
        <v>19</v>
      </c>
      <c r="B20" s="6" t="s">
        <v>15</v>
      </c>
      <c r="C20" s="9" t="s">
        <v>34</v>
      </c>
      <c r="D20" s="10" t="str">
        <f>'30-Days-Topic'!F20</f>
        <v>免認證讀得到什麼、被拒絕的三種樣子，以及六個與 BLE 無關的坑</v>
      </c>
      <c r="E20" s="7" t="s">
        <v>33</v>
      </c>
      <c r="F20" s="8" t="s">
        <v>74</v>
      </c>
    </row>
    <row r="21" spans="1:6" ht="81" x14ac:dyDescent="0.35">
      <c r="A21" s="6">
        <v>20</v>
      </c>
      <c r="B21" s="6" t="s">
        <v>17</v>
      </c>
      <c r="C21" s="6" t="s">
        <v>19</v>
      </c>
      <c r="D21" s="10" t="str">
        <f>'30-Days-Topic'!F21</f>
        <v>用 Claude 檢查我的個人網頁 (確認圖片與SEO設定)、最佳寬度 48 rem (人因工程)</v>
      </c>
      <c r="E21" s="7" t="s">
        <v>33</v>
      </c>
      <c r="F21" s="8" t="s">
        <v>98</v>
      </c>
    </row>
    <row r="22" spans="1:6" ht="54" x14ac:dyDescent="0.35">
      <c r="A22" s="6">
        <v>21</v>
      </c>
      <c r="B22" s="6" t="s">
        <v>17</v>
      </c>
      <c r="C22" s="6" t="s">
        <v>19</v>
      </c>
      <c r="D22" s="10" t="str">
        <f>'30-Days-Topic'!F22</f>
        <v>用 Claude 幫我轉換: 教召攜帶物品，從用猜的 Word 清單到帶推薦指數的 Excel，再搬上網頁</v>
      </c>
      <c r="E22" s="7" t="s">
        <v>33</v>
      </c>
      <c r="F22" s="8" t="s">
        <v>99</v>
      </c>
    </row>
    <row r="23" spans="1:6" ht="67.5" x14ac:dyDescent="0.35">
      <c r="A23" s="6">
        <v>22</v>
      </c>
      <c r="B23" s="6" t="s">
        <v>17</v>
      </c>
      <c r="C23" s="6" t="s">
        <v>19</v>
      </c>
      <c r="D23" s="10" t="str">
        <f>'30-Days-Topic'!F23</f>
        <v>用 Claude 幫我轉換: Word/EXCEL 旅遊規劃，如何在個人網頁規劃出旅程</v>
      </c>
      <c r="E23" s="7" t="s">
        <v>33</v>
      </c>
      <c r="F23" s="8" t="s">
        <v>100</v>
      </c>
    </row>
    <row r="24" spans="1:6" ht="81" x14ac:dyDescent="0.35">
      <c r="A24" s="6">
        <v>23</v>
      </c>
      <c r="B24" s="6" t="s">
        <v>17</v>
      </c>
      <c r="C24" s="6" t="s">
        <v>19</v>
      </c>
      <c r="D24" s="10" t="str">
        <f>'30-Days-Topic'!F24</f>
        <v>重建個人網頁架構、更新履歷，順便把履歷照片藏在刮刮樂底下</v>
      </c>
      <c r="E24" s="7" t="s">
        <v>33</v>
      </c>
      <c r="F24" s="8" t="s">
        <v>101</v>
      </c>
    </row>
    <row r="25" spans="1:6" ht="81" x14ac:dyDescent="0.35">
      <c r="A25" s="6">
        <v>24</v>
      </c>
      <c r="B25" s="6" t="s">
        <v>86</v>
      </c>
      <c r="C25" s="9" t="s">
        <v>35</v>
      </c>
      <c r="D25" s="10" t="str">
        <f>'30-Days-Topic'!F25</f>
        <v>定調「去查、去跑，不要靠回想」：另開兩個 repo、標的收斂、總經指標選法、Shioaji 對帳、排程放本機</v>
      </c>
      <c r="E25" s="7" t="s">
        <v>33</v>
      </c>
      <c r="F25" s="8" t="s">
        <v>102</v>
      </c>
    </row>
    <row r="26" spans="1:6" ht="81" x14ac:dyDescent="0.35">
      <c r="A26" s="6">
        <v>25</v>
      </c>
      <c r="B26" s="6" t="s">
        <v>86</v>
      </c>
      <c r="C26" s="9" t="s">
        <v>35</v>
      </c>
      <c r="D26" s="10" t="str">
        <f>'30-Days-Topic'!F26</f>
        <v>24 個總經指標：頻率混雜逼出來的設計、只顯示不評分的七項、世界前十大股票市場與評分機制</v>
      </c>
      <c r="E26" s="7" t="s">
        <v>33</v>
      </c>
      <c r="F26" s="8" t="s">
        <v>103</v>
      </c>
    </row>
    <row r="27" spans="1:6" ht="81" x14ac:dyDescent="0.35">
      <c r="A27" s="6">
        <v>26</v>
      </c>
      <c r="B27" s="6" t="s">
        <v>86</v>
      </c>
      <c r="C27" s="9" t="s">
        <v>35</v>
      </c>
      <c r="D27" s="10" t="str">
        <f>'30-Days-Topic'!F27</f>
        <v>大盤指數與大盤 ETF：五個維度怎麼算、籌碼面三個來源、為什麼刻意不做買賣建議</v>
      </c>
      <c r="E27" s="7" t="s">
        <v>33</v>
      </c>
      <c r="F27" s="8" t="s">
        <v>104</v>
      </c>
    </row>
    <row r="28" spans="1:6" ht="81" x14ac:dyDescent="0.35">
      <c r="A28" s="6">
        <v>27</v>
      </c>
      <c r="B28" s="6" t="s">
        <v>86</v>
      </c>
      <c r="C28" s="9" t="s">
        <v>35</v>
      </c>
      <c r="D28" s="10" t="str">
        <f>'30-Days-Topic'!F28</f>
        <v>從能跑到能發布：分層架構與 MVP、SQLite、桌面程式、CI/CD 與打包發布</v>
      </c>
      <c r="E28" s="7" t="s">
        <v>33</v>
      </c>
      <c r="F28" s="8" t="s">
        <v>105</v>
      </c>
    </row>
    <row r="29" spans="1:6" ht="81" x14ac:dyDescent="0.35">
      <c r="A29" s="6">
        <v>28</v>
      </c>
      <c r="B29" s="6" t="s">
        <v>86</v>
      </c>
      <c r="C29" s="9" t="s">
        <v>35</v>
      </c>
      <c r="D29" s="10" t="str">
        <f>'30-Days-Topic'!F29</f>
        <v>補得回來的價格與補不回來的五天：run log、自動掃頻率、失敗通知、金鑰分級、額度與免責</v>
      </c>
      <c r="E29" s="7" t="s">
        <v>33</v>
      </c>
      <c r="F29" s="8" t="s">
        <v>106</v>
      </c>
    </row>
    <row r="30" spans="1:6" ht="81" x14ac:dyDescent="0.35">
      <c r="A30" s="6">
        <v>29</v>
      </c>
      <c r="B30" s="6" t="s">
        <v>3</v>
      </c>
      <c r="C30" s="6"/>
      <c r="D30" s="10" t="str">
        <f>'30-Days-Topic'!F30</f>
        <v>把 AI 講給沒碰過的人聽：做一份給長輩的 26 頁 AI 入門簡報</v>
      </c>
      <c r="E30" s="7" t="s">
        <v>33</v>
      </c>
      <c r="F30" s="8" t="s">
        <v>107</v>
      </c>
    </row>
    <row r="31" spans="1:6" ht="81" x14ac:dyDescent="0.35">
      <c r="A31" s="6">
        <v>30</v>
      </c>
      <c r="B31" s="6" t="s">
        <v>3</v>
      </c>
      <c r="C31" s="6"/>
      <c r="D31" s="10" t="str">
        <f>'30-Days-Topic'!F31</f>
        <v>回顧：Day 02 三介面分工假說驗收、分工原則定版，並公開這份 30 天計畫表</v>
      </c>
      <c r="E31" s="3" t="s">
        <v>4</v>
      </c>
      <c r="F31" s="8" t="s">
        <v>108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30-Days-Topic</vt:lpstr>
      <vt:lpstr>30-Days-Detail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Chun-Yen Yu</cp:lastModifiedBy>
  <cp:revision>0</cp:revision>
  <dcterms:created xsi:type="dcterms:W3CDTF">2026-08-14T08:45:07Z</dcterms:created>
  <dcterms:modified xsi:type="dcterms:W3CDTF">2026-09-11T16:12:36Z</dcterms:modified>
  <dc:language>en-US</dc:language>
</cp:coreProperties>
</file>